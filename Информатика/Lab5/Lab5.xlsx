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Новая папка\"/>
    </mc:Choice>
  </mc:AlternateContent>
  <xr:revisionPtr revIDLastSave="0" documentId="13_ncr:1_{B7805E0E-0710-40A1-BC52-22B1A3526367}" xr6:coauthVersionLast="47" xr6:coauthVersionMax="47" xr10:uidLastSave="{00000000-0000-0000-0000-000000000000}"/>
  <bookViews>
    <workbookView xWindow="-110" yWindow="-110" windowWidth="25820" windowHeight="15500" xr2:uid="{E2517131-3DBE-4B23-BCCD-CE91D7BFC9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7" i="1" l="1"/>
  <c r="P67" i="1"/>
  <c r="U67" i="1"/>
  <c r="K66" i="1"/>
  <c r="P66" i="1"/>
  <c r="U66" i="1"/>
  <c r="AG59" i="1"/>
  <c r="G59" i="1"/>
  <c r="H59" i="1"/>
  <c r="K59" i="1"/>
  <c r="P59" i="1"/>
  <c r="U59" i="1"/>
  <c r="K58" i="1"/>
  <c r="P58" i="1"/>
  <c r="U58" i="1"/>
  <c r="K51" i="1"/>
  <c r="P51" i="1"/>
  <c r="U51" i="1"/>
  <c r="K50" i="1"/>
  <c r="P50" i="1"/>
  <c r="U50" i="1"/>
  <c r="K43" i="1"/>
  <c r="P43" i="1"/>
  <c r="U43" i="1"/>
  <c r="K42" i="1"/>
  <c r="P42" i="1"/>
  <c r="U42" i="1"/>
  <c r="K35" i="1"/>
  <c r="P35" i="1"/>
  <c r="U35" i="1"/>
  <c r="K34" i="1"/>
  <c r="P34" i="1"/>
  <c r="U34" i="1"/>
  <c r="K27" i="1"/>
  <c r="P27" i="1"/>
  <c r="U27" i="1"/>
  <c r="K26" i="1"/>
  <c r="P26" i="1"/>
  <c r="U26" i="1"/>
  <c r="C8" i="1" l="1"/>
  <c r="C7" i="1"/>
  <c r="C5" i="1"/>
  <c r="AG34" i="1" s="1"/>
  <c r="C4" i="1"/>
  <c r="C6" i="1"/>
  <c r="AG18" i="1" l="1"/>
  <c r="AG58" i="1"/>
  <c r="AG27" i="1"/>
  <c r="AG67" i="1"/>
  <c r="AG26" i="1"/>
  <c r="AG19" i="1"/>
  <c r="AG20" i="1"/>
  <c r="AI17" i="1" s="1"/>
  <c r="C9" i="1"/>
  <c r="Q7" i="1" a="1"/>
  <c r="Q7" i="1" s="1"/>
  <c r="M7" i="1" a="1"/>
  <c r="M7" i="1" s="1"/>
  <c r="I7" i="1" a="1"/>
  <c r="I7" i="1" s="1"/>
  <c r="N7" i="1" a="1"/>
  <c r="N7" i="1" s="1"/>
  <c r="Y7" i="1" a="1"/>
  <c r="Y7" i="1" s="1"/>
  <c r="V7" i="1" a="1"/>
  <c r="V7" i="1" s="1"/>
  <c r="O7" i="1" a="1"/>
  <c r="O7" i="1" s="1"/>
  <c r="H7" i="1" a="1"/>
  <c r="H7" i="1" s="1"/>
  <c r="S7" i="1" a="1"/>
  <c r="S7" i="1" s="1"/>
  <c r="G7" i="1" a="1"/>
  <c r="G7" i="1" s="1"/>
  <c r="W7" i="1" a="1"/>
  <c r="W7" i="1" s="1"/>
  <c r="R7" i="1" a="1"/>
  <c r="R7" i="1" s="1"/>
  <c r="L7" i="1" a="1"/>
  <c r="L7" i="1" s="1"/>
  <c r="X7" i="1" a="1"/>
  <c r="X7" i="1" s="1"/>
  <c r="T7" i="1" a="1"/>
  <c r="T7" i="1" s="1"/>
  <c r="J7" i="1" a="1"/>
  <c r="J7" i="1" s="1"/>
  <c r="C14" i="1"/>
  <c r="AG66" i="1" s="1"/>
  <c r="J8" i="1" a="1"/>
  <c r="J8" i="1" s="1"/>
  <c r="W8" i="1" a="1"/>
  <c r="W8" i="1" s="1"/>
  <c r="G8" i="1" a="1"/>
  <c r="G8" i="1" s="1"/>
  <c r="I8" i="1" a="1"/>
  <c r="I8" i="1" s="1"/>
  <c r="X8" i="1" a="1"/>
  <c r="X8" i="1" s="1"/>
  <c r="O8" i="1" a="1"/>
  <c r="O8" i="1" s="1"/>
  <c r="V8" i="1" a="1"/>
  <c r="V8" i="1" s="1"/>
  <c r="S8" i="1" a="1"/>
  <c r="S8" i="1" s="1"/>
  <c r="H8" i="1" a="1"/>
  <c r="H8" i="1" s="1"/>
  <c r="R8" i="1" a="1"/>
  <c r="R8" i="1" s="1"/>
  <c r="Q8" i="1" a="1"/>
  <c r="Q8" i="1" s="1"/>
  <c r="L8" i="1" a="1"/>
  <c r="L8" i="1" s="1"/>
  <c r="T8" i="1" a="1"/>
  <c r="T8" i="1" s="1"/>
  <c r="M8" i="1" a="1"/>
  <c r="M8" i="1" s="1"/>
  <c r="Y8" i="1" a="1"/>
  <c r="Y8" i="1" s="1"/>
  <c r="N8" i="1" a="1"/>
  <c r="N8" i="1" s="1"/>
  <c r="C11" i="1"/>
  <c r="Y5" i="1" a="1"/>
  <c r="Y5" i="1" s="1"/>
  <c r="Y34" i="1" s="1"/>
  <c r="T5" i="1" a="1"/>
  <c r="T5" i="1" s="1"/>
  <c r="T34" i="1" s="1"/>
  <c r="O5" i="1" a="1"/>
  <c r="O5" i="1" s="1"/>
  <c r="O34" i="1" s="1"/>
  <c r="G5" i="1" a="1"/>
  <c r="G5" i="1" s="1"/>
  <c r="G34" i="1" s="1"/>
  <c r="L5" i="1" a="1"/>
  <c r="L5" i="1" s="1"/>
  <c r="L34" i="1" s="1"/>
  <c r="N5" i="1" a="1"/>
  <c r="N5" i="1" s="1"/>
  <c r="N34" i="1" s="1"/>
  <c r="H5" i="1" a="1"/>
  <c r="H5" i="1" s="1"/>
  <c r="H34" i="1" s="1"/>
  <c r="X5" i="1" a="1"/>
  <c r="X5" i="1" s="1"/>
  <c r="X34" i="1" s="1"/>
  <c r="I5" i="1" a="1"/>
  <c r="I5" i="1" s="1"/>
  <c r="I34" i="1" s="1"/>
  <c r="W5" i="1" a="1"/>
  <c r="W5" i="1" s="1"/>
  <c r="W34" i="1" s="1"/>
  <c r="M5" i="1" a="1"/>
  <c r="M5" i="1" s="1"/>
  <c r="M34" i="1" s="1"/>
  <c r="J5" i="1" a="1"/>
  <c r="J5" i="1" s="1"/>
  <c r="J34" i="1" s="1"/>
  <c r="Q5" i="1" a="1"/>
  <c r="Q5" i="1" s="1"/>
  <c r="Q34" i="1" s="1"/>
  <c r="V5" i="1" a="1"/>
  <c r="V5" i="1" s="1"/>
  <c r="V34" i="1" s="1"/>
  <c r="R5" i="1" a="1"/>
  <c r="R5" i="1" s="1"/>
  <c r="R34" i="1" s="1"/>
  <c r="S5" i="1" a="1"/>
  <c r="S5" i="1" s="1"/>
  <c r="S34" i="1" s="1"/>
  <c r="C12" i="1"/>
  <c r="AG51" i="1" s="1"/>
  <c r="G6" i="1" a="1"/>
  <c r="G6" i="1" s="1"/>
  <c r="I6" i="1" a="1"/>
  <c r="I6" i="1" s="1"/>
  <c r="V6" i="1" a="1"/>
  <c r="V6" i="1" s="1"/>
  <c r="Q6" i="1" a="1"/>
  <c r="Q6" i="1" s="1"/>
  <c r="L6" i="1" a="1"/>
  <c r="L6" i="1" s="1"/>
  <c r="W6" i="1" a="1"/>
  <c r="W6" i="1" s="1"/>
  <c r="R6" i="1" a="1"/>
  <c r="R6" i="1" s="1"/>
  <c r="M6" i="1" a="1"/>
  <c r="M6" i="1" s="1"/>
  <c r="O6" i="1" a="1"/>
  <c r="O6" i="1" s="1"/>
  <c r="X6" i="1" a="1"/>
  <c r="X6" i="1" s="1"/>
  <c r="S6" i="1" a="1"/>
  <c r="S6" i="1" s="1"/>
  <c r="J6" i="1" a="1"/>
  <c r="J6" i="1" s="1"/>
  <c r="Y6" i="1" a="1"/>
  <c r="Y6" i="1" s="1"/>
  <c r="T6" i="1" a="1"/>
  <c r="T6" i="1" s="1"/>
  <c r="N6" i="1" a="1"/>
  <c r="N6" i="1" s="1"/>
  <c r="H6" i="1" a="1"/>
  <c r="H6" i="1" s="1"/>
  <c r="W4" i="1" a="1"/>
  <c r="W4" i="1" s="1"/>
  <c r="T4" i="1" a="1"/>
  <c r="T4" i="1" s="1"/>
  <c r="M4" i="1" a="1"/>
  <c r="M4" i="1" s="1"/>
  <c r="R4" i="1" a="1"/>
  <c r="R4" i="1" s="1"/>
  <c r="V4" i="1" a="1"/>
  <c r="V4" i="1" s="1"/>
  <c r="Q4" i="1" a="1"/>
  <c r="Q4" i="1" s="1"/>
  <c r="L4" i="1" a="1"/>
  <c r="L4" i="1" s="1"/>
  <c r="I4" i="1" a="1"/>
  <c r="I4" i="1" s="1"/>
  <c r="G4" i="1" a="1"/>
  <c r="G4" i="1" s="1"/>
  <c r="O4" i="1" a="1"/>
  <c r="O4" i="1" s="1"/>
  <c r="H4" i="1" a="1"/>
  <c r="H4" i="1" s="1"/>
  <c r="X4" i="1" a="1"/>
  <c r="X4" i="1" s="1"/>
  <c r="N4" i="1" a="1"/>
  <c r="N4" i="1" s="1"/>
  <c r="J4" i="1" a="1"/>
  <c r="J4" i="1" s="1"/>
  <c r="S4" i="1" a="1"/>
  <c r="S4" i="1" s="1"/>
  <c r="Y4" i="1" a="1"/>
  <c r="Y4" i="1" s="1"/>
  <c r="C10" i="1"/>
  <c r="C13" i="1"/>
  <c r="AI65" i="1" l="1"/>
  <c r="AG68" i="1"/>
  <c r="J27" i="1"/>
  <c r="J67" i="1"/>
  <c r="H27" i="1"/>
  <c r="H67" i="1"/>
  <c r="H18" i="1"/>
  <c r="H58" i="1"/>
  <c r="G18" i="1"/>
  <c r="G58" i="1"/>
  <c r="I18" i="1"/>
  <c r="I58" i="1"/>
  <c r="L27" i="1"/>
  <c r="L67" i="1"/>
  <c r="AI57" i="1"/>
  <c r="AG60" i="1"/>
  <c r="I27" i="1"/>
  <c r="I67" i="1"/>
  <c r="G27" i="1"/>
  <c r="G67" i="1"/>
  <c r="Q27" i="1"/>
  <c r="Q67" i="1"/>
  <c r="R27" i="1"/>
  <c r="R67" i="1"/>
  <c r="N27" i="1"/>
  <c r="N67" i="1"/>
  <c r="T27" i="1"/>
  <c r="T67" i="1"/>
  <c r="Y27" i="1"/>
  <c r="Y67" i="1"/>
  <c r="V27" i="1"/>
  <c r="V67" i="1"/>
  <c r="M27" i="1"/>
  <c r="M67" i="1"/>
  <c r="W27" i="1"/>
  <c r="W67" i="1"/>
  <c r="S27" i="1"/>
  <c r="S67" i="1"/>
  <c r="O27" i="1"/>
  <c r="O67" i="1"/>
  <c r="X27" i="1"/>
  <c r="X67" i="1"/>
  <c r="L18" i="1"/>
  <c r="L58" i="1"/>
  <c r="J18" i="1"/>
  <c r="J58" i="1"/>
  <c r="R18" i="1"/>
  <c r="R58" i="1"/>
  <c r="M18" i="1"/>
  <c r="M58" i="1"/>
  <c r="T18" i="1"/>
  <c r="T58" i="1"/>
  <c r="Y18" i="1"/>
  <c r="Y58" i="1"/>
  <c r="S18" i="1"/>
  <c r="S58" i="1"/>
  <c r="N18" i="1"/>
  <c r="N58" i="1"/>
  <c r="Q18" i="1"/>
  <c r="Q58" i="1"/>
  <c r="V18" i="1"/>
  <c r="V58" i="1"/>
  <c r="W18" i="1"/>
  <c r="W58" i="1"/>
  <c r="X18" i="1"/>
  <c r="X58" i="1"/>
  <c r="O18" i="1"/>
  <c r="O58" i="1"/>
  <c r="AG35" i="1"/>
  <c r="AG42" i="1"/>
  <c r="AG50" i="1"/>
  <c r="AG43" i="1"/>
  <c r="L19" i="1"/>
  <c r="L26" i="1"/>
  <c r="G19" i="1"/>
  <c r="G26" i="1"/>
  <c r="I19" i="1"/>
  <c r="I26" i="1"/>
  <c r="J19" i="1"/>
  <c r="J26" i="1"/>
  <c r="H19" i="1"/>
  <c r="H26" i="1"/>
  <c r="AG28" i="1"/>
  <c r="AI25" i="1" s="1"/>
  <c r="Q19" i="1"/>
  <c r="Q26" i="1"/>
  <c r="T19" i="1"/>
  <c r="T26" i="1"/>
  <c r="Y19" i="1"/>
  <c r="Y26" i="1"/>
  <c r="W19" i="1"/>
  <c r="W26" i="1"/>
  <c r="X19" i="1"/>
  <c r="X26" i="1"/>
  <c r="N19" i="1"/>
  <c r="N26" i="1"/>
  <c r="O19" i="1"/>
  <c r="O26" i="1"/>
  <c r="S19" i="1"/>
  <c r="S26" i="1"/>
  <c r="R19" i="1"/>
  <c r="R26" i="1"/>
  <c r="M19" i="1"/>
  <c r="M26" i="1"/>
  <c r="V19" i="1"/>
  <c r="V26" i="1"/>
  <c r="H10" i="1" a="1"/>
  <c r="H10" i="1" s="1"/>
  <c r="V10" i="1" a="1"/>
  <c r="V10" i="1" s="1"/>
  <c r="Q10" i="1" a="1"/>
  <c r="Q10" i="1" s="1"/>
  <c r="W10" i="1" a="1"/>
  <c r="W10" i="1" s="1"/>
  <c r="R10" i="1" a="1"/>
  <c r="R10" i="1" s="1"/>
  <c r="I10" i="1" a="1"/>
  <c r="I10" i="1" s="1"/>
  <c r="X10" i="1" a="1"/>
  <c r="X10" i="1" s="1"/>
  <c r="S10" i="1" a="1"/>
  <c r="S10" i="1" s="1"/>
  <c r="L10" i="1" a="1"/>
  <c r="L10" i="1" s="1"/>
  <c r="N10" i="1" a="1"/>
  <c r="N10" i="1" s="1"/>
  <c r="Y10" i="1" a="1"/>
  <c r="Y10" i="1" s="1"/>
  <c r="T10" i="1" a="1"/>
  <c r="T10" i="1" s="1"/>
  <c r="M10" i="1" a="1"/>
  <c r="M10" i="1" s="1"/>
  <c r="J10" i="1" a="1"/>
  <c r="J10" i="1" s="1"/>
  <c r="O10" i="1" a="1"/>
  <c r="O10" i="1" s="1"/>
  <c r="G10" i="1" a="1"/>
  <c r="G10" i="1" s="1"/>
  <c r="G12" i="1" a="1"/>
  <c r="G12" i="1" s="1"/>
  <c r="G51" i="1" s="1"/>
  <c r="T12" i="1" a="1"/>
  <c r="T12" i="1" s="1"/>
  <c r="J12" i="1" a="1"/>
  <c r="J12" i="1" s="1"/>
  <c r="V12" i="1" a="1"/>
  <c r="V12" i="1" s="1"/>
  <c r="R12" i="1" a="1"/>
  <c r="R12" i="1" s="1"/>
  <c r="N12" i="1" a="1"/>
  <c r="N12" i="1" s="1"/>
  <c r="W12" i="1" a="1"/>
  <c r="W12" i="1" s="1"/>
  <c r="Q12" i="1" a="1"/>
  <c r="Q12" i="1" s="1"/>
  <c r="X12" i="1" a="1"/>
  <c r="X12" i="1" s="1"/>
  <c r="L12" i="1" a="1"/>
  <c r="L12" i="1" s="1"/>
  <c r="Y12" i="1" a="1"/>
  <c r="Y12" i="1" s="1"/>
  <c r="S12" i="1" a="1"/>
  <c r="S12" i="1" s="1"/>
  <c r="O12" i="1" a="1"/>
  <c r="O12" i="1" s="1"/>
  <c r="I12" i="1" a="1"/>
  <c r="I12" i="1" s="1"/>
  <c r="I51" i="1" s="1"/>
  <c r="M12" i="1" a="1"/>
  <c r="M12" i="1" s="1"/>
  <c r="H12" i="1" a="1"/>
  <c r="H12" i="1" s="1"/>
  <c r="H51" i="1" s="1"/>
  <c r="T11" i="1" a="1"/>
  <c r="T11" i="1" s="1"/>
  <c r="T59" i="1" s="1"/>
  <c r="N11" i="1" a="1"/>
  <c r="N11" i="1" s="1"/>
  <c r="N59" i="1" s="1"/>
  <c r="Q11" i="1" a="1"/>
  <c r="Q11" i="1" s="1"/>
  <c r="Q59" i="1" s="1"/>
  <c r="V11" i="1" a="1"/>
  <c r="V11" i="1" s="1"/>
  <c r="V59" i="1" s="1"/>
  <c r="M11" i="1" a="1"/>
  <c r="M11" i="1" s="1"/>
  <c r="M59" i="1" s="1"/>
  <c r="O11" i="1" a="1"/>
  <c r="O11" i="1" s="1"/>
  <c r="O59" i="1" s="1"/>
  <c r="L11" i="1" a="1"/>
  <c r="L11" i="1" s="1"/>
  <c r="L59" i="1" s="1"/>
  <c r="H11" i="1" a="1"/>
  <c r="H11" i="1" s="1"/>
  <c r="Y11" i="1" a="1"/>
  <c r="Y11" i="1" s="1"/>
  <c r="Y59" i="1" s="1"/>
  <c r="J11" i="1" a="1"/>
  <c r="J11" i="1" s="1"/>
  <c r="J59" i="1" s="1"/>
  <c r="I11" i="1" a="1"/>
  <c r="I11" i="1" s="1"/>
  <c r="I59" i="1" s="1"/>
  <c r="W11" i="1" a="1"/>
  <c r="W11" i="1" s="1"/>
  <c r="W59" i="1" s="1"/>
  <c r="R11" i="1" a="1"/>
  <c r="R11" i="1" s="1"/>
  <c r="R59" i="1" s="1"/>
  <c r="G11" i="1" a="1"/>
  <c r="G11" i="1" s="1"/>
  <c r="X11" i="1" a="1"/>
  <c r="X11" i="1" s="1"/>
  <c r="X59" i="1" s="1"/>
  <c r="S11" i="1" a="1"/>
  <c r="S11" i="1" s="1"/>
  <c r="S59" i="1" s="1"/>
  <c r="Y13" i="1" a="1"/>
  <c r="Y13" i="1" s="1"/>
  <c r="T13" i="1" a="1"/>
  <c r="T13" i="1" s="1"/>
  <c r="M13" i="1" a="1"/>
  <c r="M13" i="1" s="1"/>
  <c r="R13" i="1" a="1"/>
  <c r="R13" i="1" s="1"/>
  <c r="N13" i="1" a="1"/>
  <c r="N13" i="1" s="1"/>
  <c r="V13" i="1" a="1"/>
  <c r="V13" i="1" s="1"/>
  <c r="W13" i="1" a="1"/>
  <c r="W13" i="1" s="1"/>
  <c r="O13" i="1" a="1"/>
  <c r="O13" i="1" s="1"/>
  <c r="G13" i="1" a="1"/>
  <c r="G13" i="1" s="1"/>
  <c r="L13" i="1" a="1"/>
  <c r="L13" i="1" s="1"/>
  <c r="H13" i="1" a="1"/>
  <c r="H13" i="1" s="1"/>
  <c r="J13" i="1" a="1"/>
  <c r="J13" i="1" s="1"/>
  <c r="S13" i="1" a="1"/>
  <c r="S13" i="1" s="1"/>
  <c r="I13" i="1" a="1"/>
  <c r="I13" i="1" s="1"/>
  <c r="X13" i="1" a="1"/>
  <c r="X13" i="1" s="1"/>
  <c r="Q13" i="1" a="1"/>
  <c r="Q13" i="1" s="1"/>
  <c r="J14" i="1" a="1"/>
  <c r="J14" i="1" s="1"/>
  <c r="J66" i="1" s="1"/>
  <c r="V14" i="1" a="1"/>
  <c r="V14" i="1" s="1"/>
  <c r="V66" i="1" s="1"/>
  <c r="Q14" i="1" a="1"/>
  <c r="Q14" i="1" s="1"/>
  <c r="Q66" i="1" s="1"/>
  <c r="G14" i="1" a="1"/>
  <c r="G14" i="1" s="1"/>
  <c r="G66" i="1" s="1"/>
  <c r="H14" i="1" a="1"/>
  <c r="H14" i="1" s="1"/>
  <c r="H66" i="1" s="1"/>
  <c r="W14" i="1" a="1"/>
  <c r="W14" i="1" s="1"/>
  <c r="W66" i="1" s="1"/>
  <c r="R14" i="1" a="1"/>
  <c r="R14" i="1" s="1"/>
  <c r="R66" i="1" s="1"/>
  <c r="O14" i="1" a="1"/>
  <c r="O14" i="1" s="1"/>
  <c r="O66" i="1" s="1"/>
  <c r="X14" i="1" a="1"/>
  <c r="X14" i="1" s="1"/>
  <c r="X66" i="1" s="1"/>
  <c r="S14" i="1" a="1"/>
  <c r="S14" i="1" s="1"/>
  <c r="S66" i="1" s="1"/>
  <c r="L14" i="1" a="1"/>
  <c r="L14" i="1" s="1"/>
  <c r="L66" i="1" s="1"/>
  <c r="Y14" i="1" a="1"/>
  <c r="Y14" i="1" s="1"/>
  <c r="Y66" i="1" s="1"/>
  <c r="T14" i="1" a="1"/>
  <c r="T14" i="1" s="1"/>
  <c r="T66" i="1" s="1"/>
  <c r="M14" i="1" a="1"/>
  <c r="M14" i="1" s="1"/>
  <c r="M66" i="1" s="1"/>
  <c r="I14" i="1" a="1"/>
  <c r="I14" i="1" s="1"/>
  <c r="I66" i="1" s="1"/>
  <c r="N14" i="1" a="1"/>
  <c r="N14" i="1" s="1"/>
  <c r="N66" i="1" s="1"/>
  <c r="C15" i="1"/>
  <c r="Y9" i="1" a="1"/>
  <c r="Y9" i="1" s="1"/>
  <c r="T9" i="1" a="1"/>
  <c r="T9" i="1" s="1"/>
  <c r="M9" i="1" a="1"/>
  <c r="M9" i="1" s="1"/>
  <c r="V9" i="1" a="1"/>
  <c r="V9" i="1" s="1"/>
  <c r="X9" i="1" a="1"/>
  <c r="X9" i="1" s="1"/>
  <c r="N9" i="1" a="1"/>
  <c r="N9" i="1" s="1"/>
  <c r="H9" i="1" a="1"/>
  <c r="H9" i="1" s="1"/>
  <c r="I9" i="1" a="1"/>
  <c r="I9" i="1" s="1"/>
  <c r="O9" i="1" a="1"/>
  <c r="O9" i="1" s="1"/>
  <c r="Q9" i="1" a="1"/>
  <c r="Q9" i="1" s="1"/>
  <c r="S9" i="1" a="1"/>
  <c r="S9" i="1" s="1"/>
  <c r="J9" i="1" a="1"/>
  <c r="J9" i="1" s="1"/>
  <c r="W9" i="1" a="1"/>
  <c r="W9" i="1" s="1"/>
  <c r="G9" i="1" a="1"/>
  <c r="G9" i="1" s="1"/>
  <c r="L9" i="1" a="1"/>
  <c r="L9" i="1" s="1"/>
  <c r="R9" i="1" a="1"/>
  <c r="R9" i="1" s="1"/>
  <c r="L51" i="1" l="1"/>
  <c r="X51" i="1"/>
  <c r="M51" i="1"/>
  <c r="S51" i="1"/>
  <c r="Y51" i="1"/>
  <c r="Q51" i="1"/>
  <c r="W51" i="1"/>
  <c r="R51" i="1"/>
  <c r="V51" i="1"/>
  <c r="J51" i="1"/>
  <c r="O51" i="1"/>
  <c r="N51" i="1"/>
  <c r="T51" i="1"/>
  <c r="I43" i="1"/>
  <c r="I50" i="1"/>
  <c r="J43" i="1"/>
  <c r="J50" i="1"/>
  <c r="I42" i="1"/>
  <c r="I35" i="1"/>
  <c r="G42" i="1"/>
  <c r="G35" i="1"/>
  <c r="H43" i="1"/>
  <c r="H50" i="1"/>
  <c r="G43" i="1"/>
  <c r="G50" i="1"/>
  <c r="AI49" i="1"/>
  <c r="AG52" i="1"/>
  <c r="L43" i="1"/>
  <c r="L50" i="1"/>
  <c r="H42" i="1"/>
  <c r="H35" i="1"/>
  <c r="AI41" i="1"/>
  <c r="AG44" i="1"/>
  <c r="AI33" i="1"/>
  <c r="AG36" i="1"/>
  <c r="W43" i="1"/>
  <c r="W50" i="1"/>
  <c r="V43" i="1"/>
  <c r="V50" i="1"/>
  <c r="Q43" i="1"/>
  <c r="Q50" i="1"/>
  <c r="Y43" i="1"/>
  <c r="Y50" i="1"/>
  <c r="O43" i="1"/>
  <c r="O50" i="1"/>
  <c r="N43" i="1"/>
  <c r="N50" i="1"/>
  <c r="M43" i="1"/>
  <c r="M50" i="1"/>
  <c r="T43" i="1"/>
  <c r="T50" i="1"/>
  <c r="X43" i="1"/>
  <c r="X50" i="1"/>
  <c r="R43" i="1"/>
  <c r="R50" i="1"/>
  <c r="S43" i="1"/>
  <c r="S50" i="1"/>
  <c r="L35" i="1"/>
  <c r="L42" i="1"/>
  <c r="Y20" i="1"/>
  <c r="X57" i="1" s="1"/>
  <c r="J35" i="1"/>
  <c r="J42" i="1"/>
  <c r="O35" i="1"/>
  <c r="O42" i="1"/>
  <c r="S35" i="1"/>
  <c r="S42" i="1"/>
  <c r="R35" i="1"/>
  <c r="R42" i="1"/>
  <c r="Y35" i="1"/>
  <c r="Y36" i="1" s="1"/>
  <c r="Y42" i="1"/>
  <c r="W35" i="1"/>
  <c r="W42" i="1"/>
  <c r="N35" i="1"/>
  <c r="N42" i="1"/>
  <c r="Q35" i="1"/>
  <c r="Q42" i="1"/>
  <c r="M35" i="1"/>
  <c r="M42" i="1"/>
  <c r="X35" i="1"/>
  <c r="X42" i="1"/>
  <c r="V35" i="1"/>
  <c r="V42" i="1"/>
  <c r="T35" i="1"/>
  <c r="T42" i="1"/>
  <c r="X33" i="1"/>
  <c r="X17" i="1"/>
  <c r="W17" i="1" s="1"/>
  <c r="V17" i="1" s="1"/>
  <c r="V20" i="1" s="1"/>
  <c r="Y28" i="1"/>
  <c r="X25" i="1"/>
  <c r="H15" i="1" a="1"/>
  <c r="H15" i="1" s="1"/>
  <c r="Q15" i="1" a="1"/>
  <c r="Q15" i="1" s="1"/>
  <c r="G15" i="1" a="1"/>
  <c r="G15" i="1" s="1"/>
  <c r="I15" i="1" a="1"/>
  <c r="I15" i="1" s="1"/>
  <c r="V15" i="1" a="1"/>
  <c r="V15" i="1" s="1"/>
  <c r="S15" i="1" a="1"/>
  <c r="S15" i="1" s="1"/>
  <c r="Y15" i="1" a="1"/>
  <c r="Y15" i="1" s="1"/>
  <c r="J15" i="1" a="1"/>
  <c r="J15" i="1" s="1"/>
  <c r="M15" i="1" a="1"/>
  <c r="M15" i="1" s="1"/>
  <c r="O15" i="1" a="1"/>
  <c r="O15" i="1" s="1"/>
  <c r="T15" i="1" a="1"/>
  <c r="T15" i="1" s="1"/>
  <c r="W15" i="1" a="1"/>
  <c r="W15" i="1" s="1"/>
  <c r="R15" i="1" a="1"/>
  <c r="R15" i="1" s="1"/>
  <c r="X15" i="1" a="1"/>
  <c r="X15" i="1" s="1"/>
  <c r="L15" i="1" a="1"/>
  <c r="L15" i="1" s="1"/>
  <c r="N15" i="1" a="1"/>
  <c r="N15" i="1" s="1"/>
  <c r="Y68" i="1" l="1"/>
  <c r="X65" i="1"/>
  <c r="Y60" i="1"/>
  <c r="X41" i="1"/>
  <c r="X49" i="1"/>
  <c r="Y52" i="1"/>
  <c r="Y44" i="1"/>
  <c r="X20" i="1"/>
  <c r="W57" i="1" s="1"/>
  <c r="W41" i="1"/>
  <c r="X44" i="1"/>
  <c r="X36" i="1"/>
  <c r="W33" i="1"/>
  <c r="T17" i="1"/>
  <c r="N22" i="1" s="1"/>
  <c r="W20" i="1"/>
  <c r="W25" i="1"/>
  <c r="X28" i="1"/>
  <c r="X68" i="1" l="1"/>
  <c r="W65" i="1"/>
  <c r="V57" i="1"/>
  <c r="W60" i="1"/>
  <c r="X60" i="1"/>
  <c r="W49" i="1"/>
  <c r="X52" i="1"/>
  <c r="S17" i="1"/>
  <c r="R17" i="1" s="1"/>
  <c r="R20" i="1" s="1"/>
  <c r="V41" i="1"/>
  <c r="W44" i="1"/>
  <c r="T20" i="1"/>
  <c r="V33" i="1"/>
  <c r="W36" i="1"/>
  <c r="W28" i="1"/>
  <c r="V25" i="1"/>
  <c r="S20" i="1" l="1"/>
  <c r="V65" i="1"/>
  <c r="W68" i="1"/>
  <c r="T57" i="1"/>
  <c r="V60" i="1"/>
  <c r="Q17" i="1"/>
  <c r="O17" i="1" s="1"/>
  <c r="V49" i="1"/>
  <c r="W52" i="1"/>
  <c r="V44" i="1"/>
  <c r="T41" i="1"/>
  <c r="V36" i="1"/>
  <c r="T33" i="1"/>
  <c r="V28" i="1"/>
  <c r="T25" i="1"/>
  <c r="Q20" i="1"/>
  <c r="T65" i="1" l="1"/>
  <c r="V68" i="1"/>
  <c r="K22" i="1"/>
  <c r="S57" i="1"/>
  <c r="T60" i="1"/>
  <c r="N62" i="1"/>
  <c r="V52" i="1"/>
  <c r="T49" i="1"/>
  <c r="N46" i="1"/>
  <c r="T44" i="1"/>
  <c r="S41" i="1"/>
  <c r="N38" i="1"/>
  <c r="S33" i="1"/>
  <c r="T36" i="1"/>
  <c r="S25" i="1"/>
  <c r="N30" i="1"/>
  <c r="T28" i="1"/>
  <c r="N17" i="1"/>
  <c r="O20" i="1"/>
  <c r="N70" i="1" l="1"/>
  <c r="S65" i="1"/>
  <c r="T68" i="1"/>
  <c r="R57" i="1"/>
  <c r="S60" i="1"/>
  <c r="N54" i="1"/>
  <c r="S49" i="1"/>
  <c r="T52" i="1"/>
  <c r="R41" i="1"/>
  <c r="S44" i="1"/>
  <c r="R33" i="1"/>
  <c r="S36" i="1"/>
  <c r="S28" i="1"/>
  <c r="R25" i="1"/>
  <c r="M17" i="1"/>
  <c r="N20" i="1"/>
  <c r="S68" i="1" l="1"/>
  <c r="R65" i="1"/>
  <c r="R60" i="1"/>
  <c r="Q57" i="1"/>
  <c r="R49" i="1"/>
  <c r="S52" i="1"/>
  <c r="Q41" i="1"/>
  <c r="R44" i="1"/>
  <c r="Q33" i="1"/>
  <c r="R36" i="1"/>
  <c r="Q25" i="1"/>
  <c r="R28" i="1"/>
  <c r="M20" i="1"/>
  <c r="L17" i="1"/>
  <c r="J17" i="1" s="1"/>
  <c r="R68" i="1" l="1"/>
  <c r="Q65" i="1"/>
  <c r="O57" i="1"/>
  <c r="Q60" i="1"/>
  <c r="K62" i="1" s="1"/>
  <c r="Q49" i="1"/>
  <c r="R52" i="1"/>
  <c r="Q44" i="1"/>
  <c r="K46" i="1" s="1"/>
  <c r="O41" i="1"/>
  <c r="Q36" i="1"/>
  <c r="K38" i="1" s="1"/>
  <c r="O33" i="1"/>
  <c r="Q28" i="1"/>
  <c r="K30" i="1" s="1"/>
  <c r="O25" i="1"/>
  <c r="L20" i="1"/>
  <c r="O65" i="1" l="1"/>
  <c r="Q68" i="1"/>
  <c r="K70" i="1" s="1"/>
  <c r="O60" i="1"/>
  <c r="N57" i="1"/>
  <c r="Q52" i="1"/>
  <c r="K54" i="1" s="1"/>
  <c r="O49" i="1"/>
  <c r="O44" i="1"/>
  <c r="N41" i="1"/>
  <c r="O36" i="1"/>
  <c r="N33" i="1"/>
  <c r="O28" i="1"/>
  <c r="N25" i="1"/>
  <c r="I17" i="1"/>
  <c r="J20" i="1"/>
  <c r="O68" i="1" l="1"/>
  <c r="N65" i="1"/>
  <c r="N60" i="1"/>
  <c r="M57" i="1"/>
  <c r="O52" i="1"/>
  <c r="N49" i="1"/>
  <c r="N44" i="1"/>
  <c r="M41" i="1"/>
  <c r="N36" i="1"/>
  <c r="M33" i="1"/>
  <c r="N28" i="1"/>
  <c r="M25" i="1"/>
  <c r="H17" i="1"/>
  <c r="I20" i="1"/>
  <c r="N68" i="1" l="1"/>
  <c r="M65" i="1"/>
  <c r="M60" i="1"/>
  <c r="L57" i="1"/>
  <c r="N52" i="1"/>
  <c r="M49" i="1"/>
  <c r="M44" i="1"/>
  <c r="L41" i="1"/>
  <c r="L33" i="1"/>
  <c r="M36" i="1"/>
  <c r="L25" i="1"/>
  <c r="M28" i="1"/>
  <c r="G17" i="1"/>
  <c r="H20" i="1"/>
  <c r="M68" i="1" l="1"/>
  <c r="L65" i="1"/>
  <c r="L60" i="1"/>
  <c r="J57" i="1"/>
  <c r="M52" i="1"/>
  <c r="L49" i="1"/>
  <c r="L44" i="1"/>
  <c r="J41" i="1"/>
  <c r="L36" i="1"/>
  <c r="J33" i="1"/>
  <c r="L28" i="1"/>
  <c r="J25" i="1"/>
  <c r="G20" i="1"/>
  <c r="F17" i="1"/>
  <c r="H22" i="1" s="1"/>
  <c r="L68" i="1" l="1"/>
  <c r="J65" i="1"/>
  <c r="J60" i="1"/>
  <c r="I57" i="1"/>
  <c r="T22" i="1"/>
  <c r="L52" i="1"/>
  <c r="J49" i="1"/>
  <c r="Q22" i="1"/>
  <c r="AA20" i="1"/>
  <c r="I41" i="1"/>
  <c r="J44" i="1"/>
  <c r="J36" i="1"/>
  <c r="I33" i="1"/>
  <c r="I25" i="1"/>
  <c r="J28" i="1"/>
  <c r="W22" i="1"/>
  <c r="J68" i="1" l="1"/>
  <c r="I65" i="1"/>
  <c r="I60" i="1"/>
  <c r="H57" i="1"/>
  <c r="J52" i="1"/>
  <c r="I49" i="1"/>
  <c r="I44" i="1"/>
  <c r="H41" i="1"/>
  <c r="I36" i="1"/>
  <c r="H33" i="1"/>
  <c r="I28" i="1"/>
  <c r="H25" i="1"/>
  <c r="I68" i="1" l="1"/>
  <c r="H65" i="1"/>
  <c r="H60" i="1"/>
  <c r="G57" i="1"/>
  <c r="I52" i="1"/>
  <c r="H49" i="1"/>
  <c r="G41" i="1"/>
  <c r="H44" i="1"/>
  <c r="G33" i="1"/>
  <c r="H36" i="1"/>
  <c r="H28" i="1"/>
  <c r="G25" i="1"/>
  <c r="H68" i="1" l="1"/>
  <c r="G65" i="1"/>
  <c r="F57" i="1"/>
  <c r="H62" i="1" s="1"/>
  <c r="G60" i="1"/>
  <c r="H52" i="1"/>
  <c r="G49" i="1"/>
  <c r="F41" i="1"/>
  <c r="H46" i="1" s="1"/>
  <c r="G44" i="1"/>
  <c r="F33" i="1"/>
  <c r="H38" i="1" s="1"/>
  <c r="G36" i="1"/>
  <c r="F25" i="1"/>
  <c r="H30" i="1" s="1"/>
  <c r="G28" i="1"/>
  <c r="F65" i="1" l="1"/>
  <c r="H70" i="1" s="1"/>
  <c r="G68" i="1"/>
  <c r="Q62" i="1"/>
  <c r="T62" i="1"/>
  <c r="AA60" i="1"/>
  <c r="W62" i="1"/>
  <c r="F49" i="1"/>
  <c r="H54" i="1" s="1"/>
  <c r="G52" i="1"/>
  <c r="T46" i="1"/>
  <c r="Q46" i="1"/>
  <c r="AA44" i="1"/>
  <c r="W46" i="1"/>
  <c r="T38" i="1"/>
  <c r="AA36" i="1"/>
  <c r="Q38" i="1"/>
  <c r="W38" i="1"/>
  <c r="W30" i="1"/>
  <c r="T30" i="1"/>
  <c r="Q30" i="1"/>
  <c r="AA28" i="1"/>
  <c r="T70" i="1" l="1"/>
  <c r="Q70" i="1"/>
  <c r="AA68" i="1"/>
  <c r="W70" i="1"/>
  <c r="T54" i="1"/>
  <c r="Q54" i="1"/>
  <c r="AA52" i="1"/>
  <c r="W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<sst xmlns="http://schemas.openxmlformats.org/spreadsheetml/2006/main" count="219" uniqueCount="67">
  <si>
    <t xml:space="preserve">A = </t>
  </si>
  <si>
    <t xml:space="preserve">X1 = </t>
  </si>
  <si>
    <t xml:space="preserve">C = </t>
  </si>
  <si>
    <t xml:space="preserve">X2 = </t>
  </si>
  <si>
    <t xml:space="preserve">X3 = </t>
  </si>
  <si>
    <t xml:space="preserve">A + C = </t>
  </si>
  <si>
    <t xml:space="preserve">X4 = </t>
  </si>
  <si>
    <t xml:space="preserve">A + C + C = </t>
  </si>
  <si>
    <t xml:space="preserve">X5 = </t>
  </si>
  <si>
    <t xml:space="preserve">C - A = </t>
  </si>
  <si>
    <t xml:space="preserve">X6 = </t>
  </si>
  <si>
    <t xml:space="preserve">65536 - X4 = </t>
  </si>
  <si>
    <t xml:space="preserve">X7 = </t>
  </si>
  <si>
    <t xml:space="preserve"> -X1 = </t>
  </si>
  <si>
    <t xml:space="preserve">X8 = </t>
  </si>
  <si>
    <t xml:space="preserve"> -X2 = </t>
  </si>
  <si>
    <t xml:space="preserve">X9 = </t>
  </si>
  <si>
    <t xml:space="preserve"> -X3 = </t>
  </si>
  <si>
    <t xml:space="preserve">X10 = </t>
  </si>
  <si>
    <t xml:space="preserve"> -X4 = </t>
  </si>
  <si>
    <t xml:space="preserve">X11 = </t>
  </si>
  <si>
    <t xml:space="preserve"> -X5 = </t>
  </si>
  <si>
    <t xml:space="preserve">X12 = </t>
  </si>
  <si>
    <t xml:space="preserve"> -X6 = </t>
  </si>
  <si>
    <t xml:space="preserve">B1 = </t>
  </si>
  <si>
    <t>.</t>
  </si>
  <si>
    <t xml:space="preserve">B2 = </t>
  </si>
  <si>
    <t>B3 =</t>
  </si>
  <si>
    <t xml:space="preserve">B4 = </t>
  </si>
  <si>
    <t xml:space="preserve">B5 = </t>
  </si>
  <si>
    <t>B6 =</t>
  </si>
  <si>
    <t>B7 =</t>
  </si>
  <si>
    <t>B8 =</t>
  </si>
  <si>
    <t>B9 =</t>
  </si>
  <si>
    <t>B10 =</t>
  </si>
  <si>
    <t>B11 =</t>
  </si>
  <si>
    <t>B12 =</t>
  </si>
  <si>
    <t xml:space="preserve"> -B1=</t>
  </si>
  <si>
    <t xml:space="preserve"> -B2=</t>
  </si>
  <si>
    <t xml:space="preserve"> -B3=</t>
  </si>
  <si>
    <t xml:space="preserve"> -B4=</t>
  </si>
  <si>
    <t xml:space="preserve"> -B5=</t>
  </si>
  <si>
    <t xml:space="preserve"> -B6=</t>
  </si>
  <si>
    <r>
      <t>B1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</si>
  <si>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B2</t>
    </r>
    <r>
      <rPr>
        <vertAlign val="subscript"/>
        <sz val="11"/>
        <color theme="1"/>
        <rFont val="Aptos Narrow"/>
        <family val="2"/>
        <scheme val="minor"/>
      </rPr>
      <t>(2)</t>
    </r>
  </si>
  <si>
    <t>+</t>
  </si>
  <si>
    <r>
      <rPr>
        <vertAlign val="subscript"/>
        <sz val="11"/>
        <color theme="1"/>
        <rFont val="Aptos Narrow"/>
        <family val="2"/>
        <scheme val="minor"/>
      </rPr>
      <t xml:space="preserve">(2) </t>
    </r>
    <r>
      <rPr>
        <sz val="11"/>
        <color theme="1"/>
        <rFont val="Aptos Narrow"/>
        <family val="2"/>
        <scheme val="minor"/>
      </rPr>
      <t>=</t>
    </r>
  </si>
  <si>
    <r>
      <rPr>
        <vertAlign val="subscript"/>
        <sz val="11"/>
        <color theme="1"/>
        <rFont val="Aptos Narrow"/>
        <family val="2"/>
        <scheme val="minor"/>
      </rPr>
      <t>(10)</t>
    </r>
  </si>
  <si>
    <t>=</t>
  </si>
  <si>
    <r>
      <t>X1</t>
    </r>
    <r>
      <rPr>
        <vertAlign val="subscript"/>
        <sz val="11"/>
        <color theme="1"/>
        <rFont val="Aptos Narrow"/>
        <family val="2"/>
        <scheme val="minor"/>
      </rPr>
      <t>(10)</t>
    </r>
  </si>
  <si>
    <r>
      <t>X2</t>
    </r>
    <r>
      <rPr>
        <vertAlign val="subscript"/>
        <sz val="11"/>
        <color theme="1"/>
        <rFont val="Aptos Narrow"/>
        <family val="2"/>
        <scheme val="minor"/>
      </rPr>
      <t>(10)</t>
    </r>
  </si>
  <si>
    <t>CF =</t>
  </si>
  <si>
    <t>PF =</t>
  </si>
  <si>
    <t>AF =</t>
  </si>
  <si>
    <t>ZF =</t>
  </si>
  <si>
    <t>SF =</t>
  </si>
  <si>
    <t>OF =</t>
  </si>
  <si>
    <r>
      <t>B3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</si>
  <si>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X3</t>
    </r>
    <r>
      <rPr>
        <vertAlign val="subscript"/>
        <sz val="11"/>
        <color theme="1"/>
        <rFont val="Aptos Narrow"/>
        <family val="2"/>
        <scheme val="minor"/>
      </rPr>
      <t>(10)</t>
    </r>
  </si>
  <si>
    <r>
      <t>B7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</si>
  <si>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X7</t>
    </r>
    <r>
      <rPr>
        <vertAlign val="subscript"/>
        <sz val="11"/>
        <color theme="1"/>
        <rFont val="Aptos Narrow"/>
        <family val="2"/>
        <scheme val="minor"/>
      </rPr>
      <t>(10)</t>
    </r>
  </si>
  <si>
    <r>
      <t>B8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</si>
  <si>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X8</t>
    </r>
    <r>
      <rPr>
        <vertAlign val="subscript"/>
        <sz val="11"/>
        <color theme="1"/>
        <rFont val="Aptos Narrow"/>
        <family val="2"/>
        <scheme val="minor"/>
      </rPr>
      <t>(10)</t>
    </r>
  </si>
  <si>
    <r>
      <t>B9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</si>
  <si>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X9</t>
    </r>
    <r>
      <rPr>
        <vertAlign val="subscript"/>
        <sz val="11"/>
        <color theme="1"/>
        <rFont val="Aptos Narrow"/>
        <family val="2"/>
        <scheme val="minor"/>
      </rPr>
      <t>(10)</t>
    </r>
  </si>
  <si>
    <r>
      <t>B11</t>
    </r>
    <r>
      <rPr>
        <vertAlign val="subscript"/>
        <sz val="11"/>
        <color theme="1"/>
        <rFont val="Aptos Narrow"/>
        <family val="2"/>
        <scheme val="minor"/>
      </rPr>
      <t>(2)</t>
    </r>
  </si>
  <si>
    <r>
      <t>X11</t>
    </r>
    <r>
      <rPr>
        <vertAlign val="subscript"/>
        <sz val="11"/>
        <color theme="1"/>
        <rFont val="Aptos Narrow"/>
        <family val="2"/>
        <scheme val="minor"/>
      </rPr>
      <t>(10)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</si>
</sst>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7E15-E587-4EE8-8853-1F08C5552555}">
  <dimension ref="A1:AI70"/>
  <sheetViews>
    <sheetView tabSelected="1" zoomScaleNormal="100" workbookViewId="0">
      <selection activeCell="B3" sqref="B3"/>
    </sheetView>
  </sheetViews>
  <sheetFormatPr defaultRowHeight="14.5" x14ac:dyDescent="0.35"/>
  <cols>
    <col min="1" max="1" width="6.08984375" customWidth="1"/>
    <col min="2" max="2" width="11" customWidth="1"/>
    <col min="3" max="3" width="6.7265625" customWidth="1"/>
    <col min="4" max="4" width="3.453125" customWidth="1"/>
    <col min="6" max="6" width="5.36328125" customWidth="1"/>
    <col min="7" max="25" width="4.36328125" customWidth="1"/>
    <col min="26" max="26" width="4.1796875" customWidth="1"/>
    <col min="27" max="27" width="6.26953125" customWidth="1"/>
    <col min="28" max="29" width="3.1796875" customWidth="1"/>
    <col min="30" max="30" width="3.453125" customWidth="1"/>
    <col min="35" max="35" width="19.54296875" style="8" customWidth="1"/>
  </cols>
  <sheetData>
    <row r="1" spans="1:32" x14ac:dyDescent="0.35">
      <c r="A1" s="1"/>
      <c r="B1" s="2" t="s">
        <v>0</v>
      </c>
      <c r="C1" s="2">
        <v>10918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5">
      <c r="A2" s="1"/>
      <c r="B2" s="2" t="s">
        <v>2</v>
      </c>
      <c r="C2" s="2">
        <v>19217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35">
      <c r="A4" s="1" t="s">
        <v>1</v>
      </c>
      <c r="B4" s="2" t="s">
        <v>0</v>
      </c>
      <c r="C4" s="2">
        <f>C1</f>
        <v>10918</v>
      </c>
      <c r="D4" s="2"/>
      <c r="E4" s="2" t="s">
        <v>24</v>
      </c>
      <c r="F4" s="2"/>
      <c r="G4" s="2" cm="1">
        <f t="array" ref="G4">IF($C4&gt;=0,MOD(QUOTIENT($C4,2^(16-COLUMN(A:A))),2),MOD(QUOTIENT(65536+$C4,2^(16-COLUMN(A:A))),2))</f>
        <v>0</v>
      </c>
      <c r="H4" s="2" cm="1">
        <f t="array" ref="H4">IF($C4&gt;=0,MOD(QUOTIENT($C4,2^(16-COLUMN(B:B))),2),MOD(QUOTIENT(65536+$C4,2^(16-COLUMN(B:B))),2))</f>
        <v>0</v>
      </c>
      <c r="I4" s="2" cm="1">
        <f t="array" ref="I4">IF($C4&gt;=0,MOD(QUOTIENT($C4,2^(16-COLUMN(C:C))),2),MOD(QUOTIENT(65536+$C4,2^(16-COLUMN(C:C))),2))</f>
        <v>1</v>
      </c>
      <c r="J4" s="2" cm="1">
        <f t="array" ref="J4">IF($C4&gt;=0,MOD(QUOTIENT($C4,2^(16-COLUMN(D:D))),2),MOD(QUOTIENT(65536+$C4,2^(16-COLUMN(D:D))),2))</f>
        <v>0</v>
      </c>
      <c r="K4" s="2" t="s">
        <v>25</v>
      </c>
      <c r="L4" s="2" cm="1">
        <f t="array" ref="L4">IF($C4&gt;=0,MOD(QUOTIENT($C4,2^(16-COLUMN(E:E))),2),MOD(QUOTIENT(65536+$C4,2^(16-COLUMN(E:E))),2))</f>
        <v>1</v>
      </c>
      <c r="M4" s="2" cm="1">
        <f t="array" ref="M4">IF($C4&gt;=0,MOD(QUOTIENT($C4,2^(16-COLUMN(F:F))),2),MOD(QUOTIENT(65536+$C4,2^(16-COLUMN(F:F))),2))</f>
        <v>0</v>
      </c>
      <c r="N4" s="2" cm="1">
        <f t="array" ref="N4">IF($C4&gt;=0,MOD(QUOTIENT($C4,2^(16-COLUMN(G:G))),2),MOD(QUOTIENT(65536+$C4,2^(16-COLUMN(G:G))),2))</f>
        <v>1</v>
      </c>
      <c r="O4" s="2" cm="1">
        <f t="array" ref="O4">IF($C4&gt;=0,MOD(QUOTIENT($C4,2^(16-COLUMN(H:H))),2),MOD(QUOTIENT(65536+$C4,2^(16-COLUMN(H:H))),2))</f>
        <v>0</v>
      </c>
      <c r="P4" s="2" t="s">
        <v>25</v>
      </c>
      <c r="Q4" s="2" cm="1">
        <f t="array" ref="Q4">IF($C4&gt;=0,MOD(QUOTIENT($C4,2^(16-COLUMN(I:I))),2),MOD(QUOTIENT(65536+$C4,2^(16-COLUMN(I:I))),2))</f>
        <v>1</v>
      </c>
      <c r="R4" s="2" cm="1">
        <f t="array" ref="R4">IF($C4&gt;=0,MOD(QUOTIENT($C4,2^(16-COLUMN(J:J))),2),MOD(QUOTIENT(65536+$C4,2^(16-COLUMN(J:J))),2))</f>
        <v>0</v>
      </c>
      <c r="S4" s="2" cm="1">
        <f t="array" ref="S4">IF($C4&gt;=0,MOD(QUOTIENT($C4,2^(16-COLUMN(K:K))),2),MOD(QUOTIENT(65536+$C4,2^(16-COLUMN(K:K))),2))</f>
        <v>1</v>
      </c>
      <c r="T4" s="2" cm="1">
        <f t="array" ref="T4">IF($C4&gt;=0,MOD(QUOTIENT($C4,2^(16-COLUMN(L:L))),2),MOD(QUOTIENT(65536+$C4,2^(16-COLUMN(L:L))),2))</f>
        <v>0</v>
      </c>
      <c r="U4" s="2" t="s">
        <v>25</v>
      </c>
      <c r="V4" s="2" cm="1">
        <f t="array" ref="V4">IF($C4&gt;=0,MOD(QUOTIENT($C4,2^(16-COLUMN(M:M))),2),MOD(QUOTIENT(65536+$C4,2^(16-COLUMN(M:M))),2))</f>
        <v>0</v>
      </c>
      <c r="W4" s="2" cm="1">
        <f t="array" ref="W4">IF($C4&gt;=0,MOD(QUOTIENT($C4,2^(16-COLUMN(N:N))),2),MOD(QUOTIENT(65536+$C4,2^(16-COLUMN(N:N))),2))</f>
        <v>1</v>
      </c>
      <c r="X4" s="2" cm="1">
        <f t="array" ref="X4">IF($C4&gt;=0,MOD(QUOTIENT($C4,2^(16-COLUMN(O:O))),2),MOD(QUOTIENT(65536+$C4,2^(16-COLUMN(O:O))),2))</f>
        <v>1</v>
      </c>
      <c r="Y4" s="2" cm="1">
        <f t="array" ref="Y4">IF($C4&gt;=0,MOD(QUOTIENT($C4,2^(16-COLUMN(P:P))),2),MOD(QUOTIENT(65536+$C4,2^(16-COLUMN(P:P))),2))</f>
        <v>0</v>
      </c>
      <c r="Z4" s="2"/>
      <c r="AA4" s="2"/>
      <c r="AB4" s="2"/>
      <c r="AC4" s="2"/>
      <c r="AD4" s="2"/>
      <c r="AE4" s="2"/>
      <c r="AF4" s="2"/>
    </row>
    <row r="5" spans="1:32" x14ac:dyDescent="0.35">
      <c r="A5" s="1" t="s">
        <v>3</v>
      </c>
      <c r="B5" s="2" t="s">
        <v>2</v>
      </c>
      <c r="C5" s="2">
        <f>C2</f>
        <v>19217</v>
      </c>
      <c r="D5" s="2"/>
      <c r="E5" s="2" t="s">
        <v>26</v>
      </c>
      <c r="F5" s="2"/>
      <c r="G5" s="2" cm="1">
        <f t="array" ref="G5">IF($C5&gt;=0,MOD(QUOTIENT($C5,2^(16-COLUMN(A:A))),2),MOD(QUOTIENT(65536+$C5,2^(16-COLUMN(A:A))),2))</f>
        <v>0</v>
      </c>
      <c r="H5" s="2" cm="1">
        <f t="array" ref="H5">IF($C5&gt;=0,MOD(QUOTIENT($C5,2^(16-COLUMN(B:B))),2),MOD(QUOTIENT(65536+$C5,2^(16-COLUMN(B:B))),2))</f>
        <v>1</v>
      </c>
      <c r="I5" s="2" cm="1">
        <f t="array" ref="I5">IF($C5&gt;=0,MOD(QUOTIENT($C5,2^(16-COLUMN(C:C))),2),MOD(QUOTIENT(65536+$C5,2^(16-COLUMN(C:C))),2))</f>
        <v>0</v>
      </c>
      <c r="J5" s="2" cm="1">
        <f t="array" ref="J5">IF($C5&gt;=0,MOD(QUOTIENT($C5,2^(16-COLUMN(D:D))),2),MOD(QUOTIENT(65536+$C5,2^(16-COLUMN(D:D))),2))</f>
        <v>0</v>
      </c>
      <c r="K5" s="2" t="s">
        <v>25</v>
      </c>
      <c r="L5" s="2" cm="1">
        <f t="array" ref="L5">IF($C5&gt;=0,MOD(QUOTIENT($C5,2^(16-COLUMN(E:E))),2),MOD(QUOTIENT(65536+$C5,2^(16-COLUMN(E:E))),2))</f>
        <v>1</v>
      </c>
      <c r="M5" s="2" cm="1">
        <f t="array" ref="M5">IF($C5&gt;=0,MOD(QUOTIENT($C5,2^(16-COLUMN(F:F))),2),MOD(QUOTIENT(65536+$C5,2^(16-COLUMN(F:F))),2))</f>
        <v>0</v>
      </c>
      <c r="N5" s="2" cm="1">
        <f t="array" ref="N5">IF($C5&gt;=0,MOD(QUOTIENT($C5,2^(16-COLUMN(G:G))),2),MOD(QUOTIENT(65536+$C5,2^(16-COLUMN(G:G))),2))</f>
        <v>1</v>
      </c>
      <c r="O5" s="2" cm="1">
        <f t="array" ref="O5">IF($C5&gt;=0,MOD(QUOTIENT($C5,2^(16-COLUMN(H:H))),2),MOD(QUOTIENT(65536+$C5,2^(16-COLUMN(H:H))),2))</f>
        <v>1</v>
      </c>
      <c r="P5" s="2" t="s">
        <v>25</v>
      </c>
      <c r="Q5" s="2" cm="1">
        <f t="array" ref="Q5">IF($C5&gt;=0,MOD(QUOTIENT($C5,2^(16-COLUMN(I:I))),2),MOD(QUOTIENT(65536+$C5,2^(16-COLUMN(I:I))),2))</f>
        <v>0</v>
      </c>
      <c r="R5" s="2" cm="1">
        <f t="array" ref="R5">IF($C5&gt;=0,MOD(QUOTIENT($C5,2^(16-COLUMN(J:J))),2),MOD(QUOTIENT(65536+$C5,2^(16-COLUMN(J:J))),2))</f>
        <v>0</v>
      </c>
      <c r="S5" s="2" cm="1">
        <f t="array" ref="S5">IF($C5&gt;=0,MOD(QUOTIENT($C5,2^(16-COLUMN(K:K))),2),MOD(QUOTIENT(65536+$C5,2^(16-COLUMN(K:K))),2))</f>
        <v>0</v>
      </c>
      <c r="T5" s="2" cm="1">
        <f t="array" ref="T5">IF($C5&gt;=0,MOD(QUOTIENT($C5,2^(16-COLUMN(L:L))),2),MOD(QUOTIENT(65536+$C5,2^(16-COLUMN(L:L))),2))</f>
        <v>1</v>
      </c>
      <c r="U5" s="2" t="s">
        <v>25</v>
      </c>
      <c r="V5" s="2" cm="1">
        <f t="array" ref="V5">IF($C5&gt;=0,MOD(QUOTIENT($C5,2^(16-COLUMN(M:M))),2),MOD(QUOTIENT(65536+$C5,2^(16-COLUMN(M:M))),2))</f>
        <v>0</v>
      </c>
      <c r="W5" s="2" cm="1">
        <f t="array" ref="W5">IF($C5&gt;=0,MOD(QUOTIENT($C5,2^(16-COLUMN(N:N))),2),MOD(QUOTIENT(65536+$C5,2^(16-COLUMN(N:N))),2))</f>
        <v>0</v>
      </c>
      <c r="X5" s="2" cm="1">
        <f t="array" ref="X5">IF($C5&gt;=0,MOD(QUOTIENT($C5,2^(16-COLUMN(O:O))),2),MOD(QUOTIENT(65536+$C5,2^(16-COLUMN(O:O))),2))</f>
        <v>0</v>
      </c>
      <c r="Y5" s="2" cm="1">
        <f t="array" ref="Y5">IF($C5&gt;=0,MOD(QUOTIENT($C5,2^(16-COLUMN(P:P))),2),MOD(QUOTIENT(65536+$C5,2^(16-COLUMN(P:P))),2))</f>
        <v>1</v>
      </c>
      <c r="Z5" s="2"/>
      <c r="AA5" s="2"/>
      <c r="AB5" s="2"/>
      <c r="AC5" s="2"/>
      <c r="AD5" s="2"/>
      <c r="AE5" s="2"/>
      <c r="AF5" s="2"/>
    </row>
    <row r="6" spans="1:32" x14ac:dyDescent="0.35">
      <c r="A6" s="1" t="s">
        <v>4</v>
      </c>
      <c r="B6" s="2" t="s">
        <v>5</v>
      </c>
      <c r="C6" s="2">
        <f>C1+C2</f>
        <v>30135</v>
      </c>
      <c r="D6" s="2"/>
      <c r="E6" s="2" t="s">
        <v>27</v>
      </c>
      <c r="F6" s="2"/>
      <c r="G6" s="2" cm="1">
        <f t="array" ref="G6">IF($C6&gt;=0,MOD(QUOTIENT($C6,2^(16-COLUMN(A:A))),2),MOD(QUOTIENT(65536+$C6,2^(16-COLUMN(A:A))),2))</f>
        <v>0</v>
      </c>
      <c r="H6" s="2" cm="1">
        <f t="array" ref="H6">IF($C6&gt;=0,MOD(QUOTIENT($C6,2^(16-COLUMN(B:B))),2),MOD(QUOTIENT(65536+$C6,2^(16-COLUMN(B:B))),2))</f>
        <v>1</v>
      </c>
      <c r="I6" s="2" cm="1">
        <f t="array" ref="I6">IF($C6&gt;=0,MOD(QUOTIENT($C6,2^(16-COLUMN(C:C))),2),MOD(QUOTIENT(65536+$C6,2^(16-COLUMN(C:C))),2))</f>
        <v>1</v>
      </c>
      <c r="J6" s="2" cm="1">
        <f t="array" ref="J6">IF($C6&gt;=0,MOD(QUOTIENT($C6,2^(16-COLUMN(D:D))),2),MOD(QUOTIENT(65536+$C6,2^(16-COLUMN(D:D))),2))</f>
        <v>1</v>
      </c>
      <c r="K6" s="2" t="s">
        <v>25</v>
      </c>
      <c r="L6" s="2" cm="1">
        <f t="array" ref="L6">IF($C6&gt;=0,MOD(QUOTIENT($C6,2^(16-COLUMN(E:E))),2),MOD(QUOTIENT(65536+$C6,2^(16-COLUMN(E:E))),2))</f>
        <v>0</v>
      </c>
      <c r="M6" s="2" cm="1">
        <f t="array" ref="M6">IF($C6&gt;=0,MOD(QUOTIENT($C6,2^(16-COLUMN(F:F))),2),MOD(QUOTIENT(65536+$C6,2^(16-COLUMN(F:F))),2))</f>
        <v>1</v>
      </c>
      <c r="N6" s="2" cm="1">
        <f t="array" ref="N6">IF($C6&gt;=0,MOD(QUOTIENT($C6,2^(16-COLUMN(G:G))),2),MOD(QUOTIENT(65536+$C6,2^(16-COLUMN(G:G))),2))</f>
        <v>0</v>
      </c>
      <c r="O6" s="2" cm="1">
        <f t="array" ref="O6">IF($C6&gt;=0,MOD(QUOTIENT($C6,2^(16-COLUMN(H:H))),2),MOD(QUOTIENT(65536+$C6,2^(16-COLUMN(H:H))),2))</f>
        <v>1</v>
      </c>
      <c r="P6" s="2" t="s">
        <v>25</v>
      </c>
      <c r="Q6" s="2" cm="1">
        <f t="array" ref="Q6">IF($C6&gt;=0,MOD(QUOTIENT($C6,2^(16-COLUMN(I:I))),2),MOD(QUOTIENT(65536+$C6,2^(16-COLUMN(I:I))),2))</f>
        <v>1</v>
      </c>
      <c r="R6" s="2" cm="1">
        <f t="array" ref="R6">IF($C6&gt;=0,MOD(QUOTIENT($C6,2^(16-COLUMN(J:J))),2),MOD(QUOTIENT(65536+$C6,2^(16-COLUMN(J:J))),2))</f>
        <v>0</v>
      </c>
      <c r="S6" s="2" cm="1">
        <f t="array" ref="S6">IF($C6&gt;=0,MOD(QUOTIENT($C6,2^(16-COLUMN(K:K))),2),MOD(QUOTIENT(65536+$C6,2^(16-COLUMN(K:K))),2))</f>
        <v>1</v>
      </c>
      <c r="T6" s="2" cm="1">
        <f t="array" ref="T6">IF($C6&gt;=0,MOD(QUOTIENT($C6,2^(16-COLUMN(L:L))),2),MOD(QUOTIENT(65536+$C6,2^(16-COLUMN(L:L))),2))</f>
        <v>1</v>
      </c>
      <c r="U6" s="2" t="s">
        <v>25</v>
      </c>
      <c r="V6" s="2" cm="1">
        <f t="array" ref="V6">IF($C6&gt;=0,MOD(QUOTIENT($C6,2^(16-COLUMN(M:M))),2),MOD(QUOTIENT(65536+$C6,2^(16-COLUMN(M:M))),2))</f>
        <v>0</v>
      </c>
      <c r="W6" s="2" cm="1">
        <f t="array" ref="W6">IF($C6&gt;=0,MOD(QUOTIENT($C6,2^(16-COLUMN(N:N))),2),MOD(QUOTIENT(65536+$C6,2^(16-COLUMN(N:N))),2))</f>
        <v>1</v>
      </c>
      <c r="X6" s="2" cm="1">
        <f t="array" ref="X6">IF($C6&gt;=0,MOD(QUOTIENT($C6,2^(16-COLUMN(O:O))),2),MOD(QUOTIENT(65536+$C6,2^(16-COLUMN(O:O))),2))</f>
        <v>1</v>
      </c>
      <c r="Y6" s="2" cm="1">
        <f t="array" ref="Y6">IF($C6&gt;=0,MOD(QUOTIENT($C6,2^(16-COLUMN(P:P))),2),MOD(QUOTIENT(65536+$C6,2^(16-COLUMN(P:P))),2))</f>
        <v>1</v>
      </c>
      <c r="Z6" s="2"/>
      <c r="AA6" s="2"/>
      <c r="AB6" s="2"/>
      <c r="AC6" s="2"/>
      <c r="AD6" s="2"/>
      <c r="AE6" s="2"/>
      <c r="AF6" s="2"/>
    </row>
    <row r="7" spans="1:32" x14ac:dyDescent="0.35">
      <c r="A7" s="1" t="s">
        <v>6</v>
      </c>
      <c r="B7" s="2" t="s">
        <v>7</v>
      </c>
      <c r="C7" s="2">
        <f>C1+C2+C2</f>
        <v>49352</v>
      </c>
      <c r="D7" s="2"/>
      <c r="E7" s="2" t="s">
        <v>28</v>
      </c>
      <c r="F7" s="2"/>
      <c r="G7" s="2" cm="1">
        <f t="array" ref="G7">IF($C7&gt;=0,MOD(QUOTIENT($C7,2^(16-COLUMN(A:A))),2),MOD(QUOTIENT(65536+$C7,2^(16-COLUMN(A:A))),2))</f>
        <v>1</v>
      </c>
      <c r="H7" s="2" cm="1">
        <f t="array" ref="H7">IF($C7&gt;=0,MOD(QUOTIENT($C7,2^(16-COLUMN(B:B))),2),MOD(QUOTIENT(65536+$C7,2^(16-COLUMN(B:B))),2))</f>
        <v>1</v>
      </c>
      <c r="I7" s="2" cm="1">
        <f t="array" ref="I7">IF($C7&gt;=0,MOD(QUOTIENT($C7,2^(16-COLUMN(C:C))),2),MOD(QUOTIENT(65536+$C7,2^(16-COLUMN(C:C))),2))</f>
        <v>0</v>
      </c>
      <c r="J7" s="2" cm="1">
        <f t="array" ref="J7">IF($C7&gt;=0,MOD(QUOTIENT($C7,2^(16-COLUMN(D:D))),2),MOD(QUOTIENT(65536+$C7,2^(16-COLUMN(D:D))),2))</f>
        <v>0</v>
      </c>
      <c r="K7" s="2" t="s">
        <v>25</v>
      </c>
      <c r="L7" s="2" cm="1">
        <f t="array" ref="L7">IF($C7&gt;=0,MOD(QUOTIENT($C7,2^(16-COLUMN(E:E))),2),MOD(QUOTIENT(65536+$C7,2^(16-COLUMN(E:E))),2))</f>
        <v>0</v>
      </c>
      <c r="M7" s="2" cm="1">
        <f t="array" ref="M7">IF($C7&gt;=0,MOD(QUOTIENT($C7,2^(16-COLUMN(F:F))),2),MOD(QUOTIENT(65536+$C7,2^(16-COLUMN(F:F))),2))</f>
        <v>0</v>
      </c>
      <c r="N7" s="2" cm="1">
        <f t="array" ref="N7">IF($C7&gt;=0,MOD(QUOTIENT($C7,2^(16-COLUMN(G:G))),2),MOD(QUOTIENT(65536+$C7,2^(16-COLUMN(G:G))),2))</f>
        <v>0</v>
      </c>
      <c r="O7" s="2" cm="1">
        <f t="array" ref="O7">IF($C7&gt;=0,MOD(QUOTIENT($C7,2^(16-COLUMN(H:H))),2),MOD(QUOTIENT(65536+$C7,2^(16-COLUMN(H:H))),2))</f>
        <v>0</v>
      </c>
      <c r="P7" s="2" t="s">
        <v>25</v>
      </c>
      <c r="Q7" s="2" cm="1">
        <f t="array" ref="Q7">IF($C7&gt;=0,MOD(QUOTIENT($C7,2^(16-COLUMN(I:I))),2),MOD(QUOTIENT(65536+$C7,2^(16-COLUMN(I:I))),2))</f>
        <v>1</v>
      </c>
      <c r="R7" s="2" cm="1">
        <f t="array" ref="R7">IF($C7&gt;=0,MOD(QUOTIENT($C7,2^(16-COLUMN(J:J))),2),MOD(QUOTIENT(65536+$C7,2^(16-COLUMN(J:J))),2))</f>
        <v>1</v>
      </c>
      <c r="S7" s="2" cm="1">
        <f t="array" ref="S7">IF($C7&gt;=0,MOD(QUOTIENT($C7,2^(16-COLUMN(K:K))),2),MOD(QUOTIENT(65536+$C7,2^(16-COLUMN(K:K))),2))</f>
        <v>0</v>
      </c>
      <c r="T7" s="2" cm="1">
        <f t="array" ref="T7">IF($C7&gt;=0,MOD(QUOTIENT($C7,2^(16-COLUMN(L:L))),2),MOD(QUOTIENT(65536+$C7,2^(16-COLUMN(L:L))),2))</f>
        <v>0</v>
      </c>
      <c r="U7" s="2" t="s">
        <v>25</v>
      </c>
      <c r="V7" s="2" cm="1">
        <f t="array" ref="V7">IF($C7&gt;=0,MOD(QUOTIENT($C7,2^(16-COLUMN(M:M))),2),MOD(QUOTIENT(65536+$C7,2^(16-COLUMN(M:M))),2))</f>
        <v>1</v>
      </c>
      <c r="W7" s="2" cm="1">
        <f t="array" ref="W7">IF($C7&gt;=0,MOD(QUOTIENT($C7,2^(16-COLUMN(N:N))),2),MOD(QUOTIENT(65536+$C7,2^(16-COLUMN(N:N))),2))</f>
        <v>0</v>
      </c>
      <c r="X7" s="2" cm="1">
        <f t="array" ref="X7">IF($C7&gt;=0,MOD(QUOTIENT($C7,2^(16-COLUMN(O:O))),2),MOD(QUOTIENT(65536+$C7,2^(16-COLUMN(O:O))),2))</f>
        <v>0</v>
      </c>
      <c r="Y7" s="2" cm="1">
        <f t="array" ref="Y7">IF($C7&gt;=0,MOD(QUOTIENT($C7,2^(16-COLUMN(P:P))),2),MOD(QUOTIENT(65536+$C7,2^(16-COLUMN(P:P))),2))</f>
        <v>0</v>
      </c>
      <c r="Z7" s="2"/>
      <c r="AA7" s="2"/>
      <c r="AB7" s="2"/>
      <c r="AC7" s="2"/>
      <c r="AD7" s="2"/>
      <c r="AE7" s="2"/>
      <c r="AF7" s="2"/>
    </row>
    <row r="8" spans="1:32" x14ac:dyDescent="0.35">
      <c r="A8" s="1" t="s">
        <v>8</v>
      </c>
      <c r="B8" s="2" t="s">
        <v>9</v>
      </c>
      <c r="C8" s="2">
        <f>C2-C1</f>
        <v>8299</v>
      </c>
      <c r="D8" s="2"/>
      <c r="E8" s="2" t="s">
        <v>29</v>
      </c>
      <c r="F8" s="2"/>
      <c r="G8" s="2" cm="1">
        <f t="array" ref="G8">IF($C8&gt;=0,MOD(QUOTIENT($C8,2^(16-COLUMN(A:A))),2),MOD(QUOTIENT(65536+$C8,2^(16-COLUMN(A:A))),2))</f>
        <v>0</v>
      </c>
      <c r="H8" s="2" cm="1">
        <f t="array" ref="H8">IF($C8&gt;=0,MOD(QUOTIENT($C8,2^(16-COLUMN(B:B))),2),MOD(QUOTIENT(65536+$C8,2^(16-COLUMN(B:B))),2))</f>
        <v>0</v>
      </c>
      <c r="I8" s="2" cm="1">
        <f t="array" ref="I8">IF($C8&gt;=0,MOD(QUOTIENT($C8,2^(16-COLUMN(C:C))),2),MOD(QUOTIENT(65536+$C8,2^(16-COLUMN(C:C))),2))</f>
        <v>1</v>
      </c>
      <c r="J8" s="2" cm="1">
        <f t="array" ref="J8">IF($C8&gt;=0,MOD(QUOTIENT($C8,2^(16-COLUMN(D:D))),2),MOD(QUOTIENT(65536+$C8,2^(16-COLUMN(D:D))),2))</f>
        <v>0</v>
      </c>
      <c r="K8" s="2" t="s">
        <v>25</v>
      </c>
      <c r="L8" s="2" cm="1">
        <f t="array" ref="L8">IF($C8&gt;=0,MOD(QUOTIENT($C8,2^(16-COLUMN(E:E))),2),MOD(QUOTIENT(65536+$C8,2^(16-COLUMN(E:E))),2))</f>
        <v>0</v>
      </c>
      <c r="M8" s="2" cm="1">
        <f t="array" ref="M8">IF($C8&gt;=0,MOD(QUOTIENT($C8,2^(16-COLUMN(F:F))),2),MOD(QUOTIENT(65536+$C8,2^(16-COLUMN(F:F))),2))</f>
        <v>0</v>
      </c>
      <c r="N8" s="2" cm="1">
        <f t="array" ref="N8">IF($C8&gt;=0,MOD(QUOTIENT($C8,2^(16-COLUMN(G:G))),2),MOD(QUOTIENT(65536+$C8,2^(16-COLUMN(G:G))),2))</f>
        <v>0</v>
      </c>
      <c r="O8" s="2" cm="1">
        <f t="array" ref="O8">IF($C8&gt;=0,MOD(QUOTIENT($C8,2^(16-COLUMN(H:H))),2),MOD(QUOTIENT(65536+$C8,2^(16-COLUMN(H:H))),2))</f>
        <v>0</v>
      </c>
      <c r="P8" s="2" t="s">
        <v>25</v>
      </c>
      <c r="Q8" s="2" cm="1">
        <f t="array" ref="Q8">IF($C8&gt;=0,MOD(QUOTIENT($C8,2^(16-COLUMN(I:I))),2),MOD(QUOTIENT(65536+$C8,2^(16-COLUMN(I:I))),2))</f>
        <v>0</v>
      </c>
      <c r="R8" s="2" cm="1">
        <f t="array" ref="R8">IF($C8&gt;=0,MOD(QUOTIENT($C8,2^(16-COLUMN(J:J))),2),MOD(QUOTIENT(65536+$C8,2^(16-COLUMN(J:J))),2))</f>
        <v>1</v>
      </c>
      <c r="S8" s="2" cm="1">
        <f t="array" ref="S8">IF($C8&gt;=0,MOD(QUOTIENT($C8,2^(16-COLUMN(K:K))),2),MOD(QUOTIENT(65536+$C8,2^(16-COLUMN(K:K))),2))</f>
        <v>1</v>
      </c>
      <c r="T8" s="2" cm="1">
        <f t="array" ref="T8">IF($C8&gt;=0,MOD(QUOTIENT($C8,2^(16-COLUMN(L:L))),2),MOD(QUOTIENT(65536+$C8,2^(16-COLUMN(L:L))),2))</f>
        <v>0</v>
      </c>
      <c r="U8" s="2" t="s">
        <v>25</v>
      </c>
      <c r="V8" s="2" cm="1">
        <f t="array" ref="V8">IF($C8&gt;=0,MOD(QUOTIENT($C8,2^(16-COLUMN(M:M))),2),MOD(QUOTIENT(65536+$C8,2^(16-COLUMN(M:M))),2))</f>
        <v>1</v>
      </c>
      <c r="W8" s="2" cm="1">
        <f t="array" ref="W8">IF($C8&gt;=0,MOD(QUOTIENT($C8,2^(16-COLUMN(N:N))),2),MOD(QUOTIENT(65536+$C8,2^(16-COLUMN(N:N))),2))</f>
        <v>0</v>
      </c>
      <c r="X8" s="2" cm="1">
        <f t="array" ref="X8">IF($C8&gt;=0,MOD(QUOTIENT($C8,2^(16-COLUMN(O:O))),2),MOD(QUOTIENT(65536+$C8,2^(16-COLUMN(O:O))),2))</f>
        <v>1</v>
      </c>
      <c r="Y8" s="2" cm="1">
        <f t="array" ref="Y8">IF($C8&gt;=0,MOD(QUOTIENT($C8,2^(16-COLUMN(P:P))),2),MOD(QUOTIENT(65536+$C8,2^(16-COLUMN(P:P))),2))</f>
        <v>1</v>
      </c>
      <c r="Z8" s="2"/>
      <c r="AA8" s="2"/>
      <c r="AB8" s="2"/>
      <c r="AC8" s="2"/>
      <c r="AD8" s="2"/>
      <c r="AE8" s="2"/>
      <c r="AF8" s="2"/>
    </row>
    <row r="9" spans="1:32" x14ac:dyDescent="0.35">
      <c r="A9" s="1" t="s">
        <v>10</v>
      </c>
      <c r="B9" s="2" t="s">
        <v>11</v>
      </c>
      <c r="C9" s="2">
        <f>65536-C7</f>
        <v>16184</v>
      </c>
      <c r="D9" s="2"/>
      <c r="E9" s="2" t="s">
        <v>30</v>
      </c>
      <c r="F9" s="2"/>
      <c r="G9" s="2" cm="1">
        <f t="array" ref="G9">IF($C9&gt;=0,MOD(QUOTIENT($C9,2^(16-COLUMN(A:A))),2),MOD(QUOTIENT(65536+$C9,2^(16-COLUMN(A:A))),2))</f>
        <v>0</v>
      </c>
      <c r="H9" s="2" cm="1">
        <f t="array" ref="H9">IF($C9&gt;=0,MOD(QUOTIENT($C9,2^(16-COLUMN(B:B))),2),MOD(QUOTIENT(65536+$C9,2^(16-COLUMN(B:B))),2))</f>
        <v>0</v>
      </c>
      <c r="I9" s="2" cm="1">
        <f t="array" ref="I9">IF($C9&gt;=0,MOD(QUOTIENT($C9,2^(16-COLUMN(C:C))),2),MOD(QUOTIENT(65536+$C9,2^(16-COLUMN(C:C))),2))</f>
        <v>1</v>
      </c>
      <c r="J9" s="2" cm="1">
        <f t="array" ref="J9">IF($C9&gt;=0,MOD(QUOTIENT($C9,2^(16-COLUMN(D:D))),2),MOD(QUOTIENT(65536+$C9,2^(16-COLUMN(D:D))),2))</f>
        <v>1</v>
      </c>
      <c r="K9" s="2" t="s">
        <v>25</v>
      </c>
      <c r="L9" s="2" cm="1">
        <f t="array" ref="L9">IF($C9&gt;=0,MOD(QUOTIENT($C9,2^(16-COLUMN(E:E))),2),MOD(QUOTIENT(65536+$C9,2^(16-COLUMN(E:E))),2))</f>
        <v>1</v>
      </c>
      <c r="M9" s="2" cm="1">
        <f t="array" ref="M9">IF($C9&gt;=0,MOD(QUOTIENT($C9,2^(16-COLUMN(F:F))),2),MOD(QUOTIENT(65536+$C9,2^(16-COLUMN(F:F))),2))</f>
        <v>1</v>
      </c>
      <c r="N9" s="2" cm="1">
        <f t="array" ref="N9">IF($C9&gt;=0,MOD(QUOTIENT($C9,2^(16-COLUMN(G:G))),2),MOD(QUOTIENT(65536+$C9,2^(16-COLUMN(G:G))),2))</f>
        <v>1</v>
      </c>
      <c r="O9" s="2" cm="1">
        <f t="array" ref="O9">IF($C9&gt;=0,MOD(QUOTIENT($C9,2^(16-COLUMN(H:H))),2),MOD(QUOTIENT(65536+$C9,2^(16-COLUMN(H:H))),2))</f>
        <v>1</v>
      </c>
      <c r="P9" s="2" t="s">
        <v>25</v>
      </c>
      <c r="Q9" s="2" cm="1">
        <f t="array" ref="Q9">IF($C9&gt;=0,MOD(QUOTIENT($C9,2^(16-COLUMN(I:I))),2),MOD(QUOTIENT(65536+$C9,2^(16-COLUMN(I:I))),2))</f>
        <v>0</v>
      </c>
      <c r="R9" s="2" cm="1">
        <f t="array" ref="R9">IF($C9&gt;=0,MOD(QUOTIENT($C9,2^(16-COLUMN(J:J))),2),MOD(QUOTIENT(65536+$C9,2^(16-COLUMN(J:J))),2))</f>
        <v>0</v>
      </c>
      <c r="S9" s="2" cm="1">
        <f t="array" ref="S9">IF($C9&gt;=0,MOD(QUOTIENT($C9,2^(16-COLUMN(K:K))),2),MOD(QUOTIENT(65536+$C9,2^(16-COLUMN(K:K))),2))</f>
        <v>1</v>
      </c>
      <c r="T9" s="2" cm="1">
        <f t="array" ref="T9">IF($C9&gt;=0,MOD(QUOTIENT($C9,2^(16-COLUMN(L:L))),2),MOD(QUOTIENT(65536+$C9,2^(16-COLUMN(L:L))),2))</f>
        <v>1</v>
      </c>
      <c r="U9" s="2" t="s">
        <v>25</v>
      </c>
      <c r="V9" s="2" cm="1">
        <f t="array" ref="V9">IF($C9&gt;=0,MOD(QUOTIENT($C9,2^(16-COLUMN(M:M))),2),MOD(QUOTIENT(65536+$C9,2^(16-COLUMN(M:M))),2))</f>
        <v>1</v>
      </c>
      <c r="W9" s="2" cm="1">
        <f t="array" ref="W9">IF($C9&gt;=0,MOD(QUOTIENT($C9,2^(16-COLUMN(N:N))),2),MOD(QUOTIENT(65536+$C9,2^(16-COLUMN(N:N))),2))</f>
        <v>0</v>
      </c>
      <c r="X9" s="2" cm="1">
        <f t="array" ref="X9">IF($C9&gt;=0,MOD(QUOTIENT($C9,2^(16-COLUMN(O:O))),2),MOD(QUOTIENT(65536+$C9,2^(16-COLUMN(O:O))),2))</f>
        <v>0</v>
      </c>
      <c r="Y9" s="2" cm="1">
        <f t="array" ref="Y9">IF($C9&gt;=0,MOD(QUOTIENT($C9,2^(16-COLUMN(P:P))),2),MOD(QUOTIENT(65536+$C9,2^(16-COLUMN(P:P))),2))</f>
        <v>0</v>
      </c>
      <c r="Z9" s="2"/>
      <c r="AA9" s="2"/>
      <c r="AB9" s="2"/>
      <c r="AC9" s="2"/>
      <c r="AD9" s="2"/>
      <c r="AE9" s="2"/>
      <c r="AF9" s="2"/>
    </row>
    <row r="10" spans="1:32" x14ac:dyDescent="0.35">
      <c r="A10" s="1" t="s">
        <v>12</v>
      </c>
      <c r="B10" s="2" t="s">
        <v>13</v>
      </c>
      <c r="C10" s="2">
        <f t="shared" ref="C10:C15" si="0">-C4</f>
        <v>-10918</v>
      </c>
      <c r="D10" s="2"/>
      <c r="E10" s="2" t="s">
        <v>31</v>
      </c>
      <c r="F10" s="2" t="s">
        <v>37</v>
      </c>
      <c r="G10" s="2" cm="1">
        <f t="array" ref="G10">IF($C10&gt;=0,MOD(QUOTIENT($C10,2^(16-COLUMN(A:A))),2),MOD(QUOTIENT(65536+$C10,2^(16-COLUMN(A:A))),2))</f>
        <v>1</v>
      </c>
      <c r="H10" s="2" cm="1">
        <f t="array" ref="H10">IF($C10&gt;=0,MOD(QUOTIENT($C10,2^(16-COLUMN(B:B))),2),MOD(QUOTIENT(65536+$C10,2^(16-COLUMN(B:B))),2))</f>
        <v>1</v>
      </c>
      <c r="I10" s="2" cm="1">
        <f t="array" ref="I10">IF($C10&gt;=0,MOD(QUOTIENT($C10,2^(16-COLUMN(C:C))),2),MOD(QUOTIENT(65536+$C10,2^(16-COLUMN(C:C))),2))</f>
        <v>0</v>
      </c>
      <c r="J10" s="2" cm="1">
        <f t="array" ref="J10">IF($C10&gt;=0,MOD(QUOTIENT($C10,2^(16-COLUMN(D:D))),2),MOD(QUOTIENT(65536+$C10,2^(16-COLUMN(D:D))),2))</f>
        <v>1</v>
      </c>
      <c r="K10" s="2" t="s">
        <v>25</v>
      </c>
      <c r="L10" s="2" cm="1">
        <f t="array" ref="L10">IF($C10&gt;=0,MOD(QUOTIENT($C10,2^(16-COLUMN(E:E))),2),MOD(QUOTIENT(65536+$C10,2^(16-COLUMN(E:E))),2))</f>
        <v>0</v>
      </c>
      <c r="M10" s="2" cm="1">
        <f t="array" ref="M10">IF($C10&gt;=0,MOD(QUOTIENT($C10,2^(16-COLUMN(F:F))),2),MOD(QUOTIENT(65536+$C10,2^(16-COLUMN(F:F))),2))</f>
        <v>1</v>
      </c>
      <c r="N10" s="2" cm="1">
        <f t="array" ref="N10">IF($C10&gt;=0,MOD(QUOTIENT($C10,2^(16-COLUMN(G:G))),2),MOD(QUOTIENT(65536+$C10,2^(16-COLUMN(G:G))),2))</f>
        <v>0</v>
      </c>
      <c r="O10" s="2" cm="1">
        <f t="array" ref="O10">IF($C10&gt;=0,MOD(QUOTIENT($C10,2^(16-COLUMN(H:H))),2),MOD(QUOTIENT(65536+$C10,2^(16-COLUMN(H:H))),2))</f>
        <v>1</v>
      </c>
      <c r="P10" s="2" t="s">
        <v>25</v>
      </c>
      <c r="Q10" s="2" cm="1">
        <f t="array" ref="Q10">IF($C10&gt;=0,MOD(QUOTIENT($C10,2^(16-COLUMN(I:I))),2),MOD(QUOTIENT(65536+$C10,2^(16-COLUMN(I:I))),2))</f>
        <v>0</v>
      </c>
      <c r="R10" s="2" cm="1">
        <f t="array" ref="R10">IF($C10&gt;=0,MOD(QUOTIENT($C10,2^(16-COLUMN(J:J))),2),MOD(QUOTIENT(65536+$C10,2^(16-COLUMN(J:J))),2))</f>
        <v>1</v>
      </c>
      <c r="S10" s="2" cm="1">
        <f t="array" ref="S10">IF($C10&gt;=0,MOD(QUOTIENT($C10,2^(16-COLUMN(K:K))),2),MOD(QUOTIENT(65536+$C10,2^(16-COLUMN(K:K))),2))</f>
        <v>0</v>
      </c>
      <c r="T10" s="2" cm="1">
        <f t="array" ref="T10">IF($C10&gt;=0,MOD(QUOTIENT($C10,2^(16-COLUMN(L:L))),2),MOD(QUOTIENT(65536+$C10,2^(16-COLUMN(L:L))),2))</f>
        <v>1</v>
      </c>
      <c r="U10" s="2" t="s">
        <v>25</v>
      </c>
      <c r="V10" s="2" cm="1">
        <f t="array" ref="V10">IF($C10&gt;=0,MOD(QUOTIENT($C10,2^(16-COLUMN(M:M))),2),MOD(QUOTIENT(65536+$C10,2^(16-COLUMN(M:M))),2))</f>
        <v>1</v>
      </c>
      <c r="W10" s="2" cm="1">
        <f t="array" ref="W10">IF($C10&gt;=0,MOD(QUOTIENT($C10,2^(16-COLUMN(N:N))),2),MOD(QUOTIENT(65536+$C10,2^(16-COLUMN(N:N))),2))</f>
        <v>0</v>
      </c>
      <c r="X10" s="2" cm="1">
        <f t="array" ref="X10">IF($C10&gt;=0,MOD(QUOTIENT($C10,2^(16-COLUMN(O:O))),2),MOD(QUOTIENT(65536+$C10,2^(16-COLUMN(O:O))),2))</f>
        <v>1</v>
      </c>
      <c r="Y10" s="2" cm="1">
        <f t="array" ref="Y10">IF($C10&gt;=0,MOD(QUOTIENT($C10,2^(16-COLUMN(P:P))),2),MOD(QUOTIENT(65536+$C10,2^(16-COLUMN(P:P))),2))</f>
        <v>0</v>
      </c>
      <c r="Z10" s="2"/>
      <c r="AA10" s="2"/>
      <c r="AB10" s="2"/>
      <c r="AC10" s="2"/>
      <c r="AD10" s="2"/>
      <c r="AE10" s="2"/>
      <c r="AF10" s="2"/>
    </row>
    <row r="11" spans="1:32" x14ac:dyDescent="0.35">
      <c r="A11" s="1" t="s">
        <v>14</v>
      </c>
      <c r="B11" s="2" t="s">
        <v>15</v>
      </c>
      <c r="C11" s="2">
        <f t="shared" si="0"/>
        <v>-19217</v>
      </c>
      <c r="D11" s="2"/>
      <c r="E11" s="2" t="s">
        <v>32</v>
      </c>
      <c r="F11" s="2" t="s">
        <v>38</v>
      </c>
      <c r="G11" s="2" cm="1">
        <f t="array" ref="G11">IF($C11&gt;=0,MOD(QUOTIENT($C11,2^(16-COLUMN(A:A))),2),MOD(QUOTIENT(65536+$C11,2^(16-COLUMN(A:A))),2))</f>
        <v>1</v>
      </c>
      <c r="H11" s="2" cm="1">
        <f t="array" ref="H11">IF($C11&gt;=0,MOD(QUOTIENT($C11,2^(16-COLUMN(B:B))),2),MOD(QUOTIENT(65536+$C11,2^(16-COLUMN(B:B))),2))</f>
        <v>0</v>
      </c>
      <c r="I11" s="2" cm="1">
        <f t="array" ref="I11">IF($C11&gt;=0,MOD(QUOTIENT($C11,2^(16-COLUMN(C:C))),2),MOD(QUOTIENT(65536+$C11,2^(16-COLUMN(C:C))),2))</f>
        <v>1</v>
      </c>
      <c r="J11" s="2" cm="1">
        <f t="array" ref="J11">IF($C11&gt;=0,MOD(QUOTIENT($C11,2^(16-COLUMN(D:D))),2),MOD(QUOTIENT(65536+$C11,2^(16-COLUMN(D:D))),2))</f>
        <v>1</v>
      </c>
      <c r="K11" s="2" t="s">
        <v>25</v>
      </c>
      <c r="L11" s="2" cm="1">
        <f t="array" ref="L11">IF($C11&gt;=0,MOD(QUOTIENT($C11,2^(16-COLUMN(E:E))),2),MOD(QUOTIENT(65536+$C11,2^(16-COLUMN(E:E))),2))</f>
        <v>0</v>
      </c>
      <c r="M11" s="2" cm="1">
        <f t="array" ref="M11">IF($C11&gt;=0,MOD(QUOTIENT($C11,2^(16-COLUMN(F:F))),2),MOD(QUOTIENT(65536+$C11,2^(16-COLUMN(F:F))),2))</f>
        <v>1</v>
      </c>
      <c r="N11" s="2" cm="1">
        <f t="array" ref="N11">IF($C11&gt;=0,MOD(QUOTIENT($C11,2^(16-COLUMN(G:G))),2),MOD(QUOTIENT(65536+$C11,2^(16-COLUMN(G:G))),2))</f>
        <v>0</v>
      </c>
      <c r="O11" s="2" cm="1">
        <f t="array" ref="O11">IF($C11&gt;=0,MOD(QUOTIENT($C11,2^(16-COLUMN(H:H))),2),MOD(QUOTIENT(65536+$C11,2^(16-COLUMN(H:H))),2))</f>
        <v>0</v>
      </c>
      <c r="P11" s="2" t="s">
        <v>25</v>
      </c>
      <c r="Q11" s="2" cm="1">
        <f t="array" ref="Q11">IF($C11&gt;=0,MOD(QUOTIENT($C11,2^(16-COLUMN(I:I))),2),MOD(QUOTIENT(65536+$C11,2^(16-COLUMN(I:I))),2))</f>
        <v>1</v>
      </c>
      <c r="R11" s="2" cm="1">
        <f t="array" ref="R11">IF($C11&gt;=0,MOD(QUOTIENT($C11,2^(16-COLUMN(J:J))),2),MOD(QUOTIENT(65536+$C11,2^(16-COLUMN(J:J))),2))</f>
        <v>1</v>
      </c>
      <c r="S11" s="2" cm="1">
        <f t="array" ref="S11">IF($C11&gt;=0,MOD(QUOTIENT($C11,2^(16-COLUMN(K:K))),2),MOD(QUOTIENT(65536+$C11,2^(16-COLUMN(K:K))),2))</f>
        <v>1</v>
      </c>
      <c r="T11" s="2" cm="1">
        <f t="array" ref="T11">IF($C11&gt;=0,MOD(QUOTIENT($C11,2^(16-COLUMN(L:L))),2),MOD(QUOTIENT(65536+$C11,2^(16-COLUMN(L:L))),2))</f>
        <v>0</v>
      </c>
      <c r="U11" s="2" t="s">
        <v>25</v>
      </c>
      <c r="V11" s="2" cm="1">
        <f t="array" ref="V11">IF($C11&gt;=0,MOD(QUOTIENT($C11,2^(16-COLUMN(M:M))),2),MOD(QUOTIENT(65536+$C11,2^(16-COLUMN(M:M))),2))</f>
        <v>1</v>
      </c>
      <c r="W11" s="2" cm="1">
        <f t="array" ref="W11">IF($C11&gt;=0,MOD(QUOTIENT($C11,2^(16-COLUMN(N:N))),2),MOD(QUOTIENT(65536+$C11,2^(16-COLUMN(N:N))),2))</f>
        <v>1</v>
      </c>
      <c r="X11" s="2" cm="1">
        <f t="array" ref="X11">IF($C11&gt;=0,MOD(QUOTIENT($C11,2^(16-COLUMN(O:O))),2),MOD(QUOTIENT(65536+$C11,2^(16-COLUMN(O:O))),2))</f>
        <v>1</v>
      </c>
      <c r="Y11" s="2" cm="1">
        <f t="array" ref="Y11">IF($C11&gt;=0,MOD(QUOTIENT($C11,2^(16-COLUMN(P:P))),2),MOD(QUOTIENT(65536+$C11,2^(16-COLUMN(P:P))),2))</f>
        <v>1</v>
      </c>
      <c r="Z11" s="2"/>
      <c r="AA11" s="2"/>
      <c r="AB11" s="2"/>
      <c r="AC11" s="2"/>
      <c r="AD11" s="2"/>
      <c r="AE11" s="2"/>
      <c r="AF11" s="2"/>
    </row>
    <row r="12" spans="1:32" x14ac:dyDescent="0.35">
      <c r="A12" s="1" t="s">
        <v>16</v>
      </c>
      <c r="B12" s="2" t="s">
        <v>17</v>
      </c>
      <c r="C12" s="2">
        <f t="shared" si="0"/>
        <v>-30135</v>
      </c>
      <c r="D12" s="2"/>
      <c r="E12" s="2" t="s">
        <v>33</v>
      </c>
      <c r="F12" s="2" t="s">
        <v>39</v>
      </c>
      <c r="G12" s="2" cm="1">
        <f t="array" ref="G12">IF($C12&gt;=0,MOD(QUOTIENT($C12,2^(16-COLUMN(A:A))),2),MOD(QUOTIENT(65536+$C12,2^(16-COLUMN(A:A))),2))</f>
        <v>1</v>
      </c>
      <c r="H12" s="2" cm="1">
        <f t="array" ref="H12">IF($C12&gt;=0,MOD(QUOTIENT($C12,2^(16-COLUMN(B:B))),2),MOD(QUOTIENT(65536+$C12,2^(16-COLUMN(B:B))),2))</f>
        <v>0</v>
      </c>
      <c r="I12" s="2" cm="1">
        <f t="array" ref="I12">IF($C12&gt;=0,MOD(QUOTIENT($C12,2^(16-COLUMN(C:C))),2),MOD(QUOTIENT(65536+$C12,2^(16-COLUMN(C:C))),2))</f>
        <v>0</v>
      </c>
      <c r="J12" s="2" cm="1">
        <f t="array" ref="J12">IF($C12&gt;=0,MOD(QUOTIENT($C12,2^(16-COLUMN(D:D))),2),MOD(QUOTIENT(65536+$C12,2^(16-COLUMN(D:D))),2))</f>
        <v>0</v>
      </c>
      <c r="K12" s="2" t="s">
        <v>25</v>
      </c>
      <c r="L12" s="2" cm="1">
        <f t="array" ref="L12">IF($C12&gt;=0,MOD(QUOTIENT($C12,2^(16-COLUMN(E:E))),2),MOD(QUOTIENT(65536+$C12,2^(16-COLUMN(E:E))),2))</f>
        <v>1</v>
      </c>
      <c r="M12" s="2" cm="1">
        <f t="array" ref="M12">IF($C12&gt;=0,MOD(QUOTIENT($C12,2^(16-COLUMN(F:F))),2),MOD(QUOTIENT(65536+$C12,2^(16-COLUMN(F:F))),2))</f>
        <v>0</v>
      </c>
      <c r="N12" s="2" cm="1">
        <f t="array" ref="N12">IF($C12&gt;=0,MOD(QUOTIENT($C12,2^(16-COLUMN(G:G))),2),MOD(QUOTIENT(65536+$C12,2^(16-COLUMN(G:G))),2))</f>
        <v>1</v>
      </c>
      <c r="O12" s="2" cm="1">
        <f t="array" ref="O12">IF($C12&gt;=0,MOD(QUOTIENT($C12,2^(16-COLUMN(H:H))),2),MOD(QUOTIENT(65536+$C12,2^(16-COLUMN(H:H))),2))</f>
        <v>0</v>
      </c>
      <c r="P12" s="2" t="s">
        <v>25</v>
      </c>
      <c r="Q12" s="2" cm="1">
        <f t="array" ref="Q12">IF($C12&gt;=0,MOD(QUOTIENT($C12,2^(16-COLUMN(I:I))),2),MOD(QUOTIENT(65536+$C12,2^(16-COLUMN(I:I))),2))</f>
        <v>0</v>
      </c>
      <c r="R12" s="2" cm="1">
        <f t="array" ref="R12">IF($C12&gt;=0,MOD(QUOTIENT($C12,2^(16-COLUMN(J:J))),2),MOD(QUOTIENT(65536+$C12,2^(16-COLUMN(J:J))),2))</f>
        <v>1</v>
      </c>
      <c r="S12" s="2" cm="1">
        <f t="array" ref="S12">IF($C12&gt;=0,MOD(QUOTIENT($C12,2^(16-COLUMN(K:K))),2),MOD(QUOTIENT(65536+$C12,2^(16-COLUMN(K:K))),2))</f>
        <v>0</v>
      </c>
      <c r="T12" s="2" cm="1">
        <f t="array" ref="T12">IF($C12&gt;=0,MOD(QUOTIENT($C12,2^(16-COLUMN(L:L))),2),MOD(QUOTIENT(65536+$C12,2^(16-COLUMN(L:L))),2))</f>
        <v>0</v>
      </c>
      <c r="U12" s="2" t="s">
        <v>25</v>
      </c>
      <c r="V12" s="2" cm="1">
        <f t="array" ref="V12">IF($C12&gt;=0,MOD(QUOTIENT($C12,2^(16-COLUMN(M:M))),2),MOD(QUOTIENT(65536+$C12,2^(16-COLUMN(M:M))),2))</f>
        <v>1</v>
      </c>
      <c r="W12" s="2" cm="1">
        <f t="array" ref="W12">IF($C12&gt;=0,MOD(QUOTIENT($C12,2^(16-COLUMN(N:N))),2),MOD(QUOTIENT(65536+$C12,2^(16-COLUMN(N:N))),2))</f>
        <v>0</v>
      </c>
      <c r="X12" s="2" cm="1">
        <f t="array" ref="X12">IF($C12&gt;=0,MOD(QUOTIENT($C12,2^(16-COLUMN(O:O))),2),MOD(QUOTIENT(65536+$C12,2^(16-COLUMN(O:O))),2))</f>
        <v>0</v>
      </c>
      <c r="Y12" s="2" cm="1">
        <f t="array" ref="Y12">IF($C12&gt;=0,MOD(QUOTIENT($C12,2^(16-COLUMN(P:P))),2),MOD(QUOTIENT(65536+$C12,2^(16-COLUMN(P:P))),2))</f>
        <v>1</v>
      </c>
      <c r="Z12" s="2"/>
      <c r="AA12" s="2"/>
      <c r="AB12" s="2"/>
      <c r="AC12" s="2"/>
      <c r="AD12" s="2"/>
      <c r="AE12" s="2"/>
      <c r="AF12" s="2"/>
    </row>
    <row r="13" spans="1:32" x14ac:dyDescent="0.35">
      <c r="A13" s="1" t="s">
        <v>18</v>
      </c>
      <c r="B13" s="2" t="s">
        <v>19</v>
      </c>
      <c r="C13" s="2">
        <f t="shared" si="0"/>
        <v>-49352</v>
      </c>
      <c r="D13" s="2"/>
      <c r="E13" s="2" t="s">
        <v>34</v>
      </c>
      <c r="F13" s="2" t="s">
        <v>40</v>
      </c>
      <c r="G13" s="2" cm="1">
        <f t="array" ref="G13">IF($C13&gt;=0,MOD(QUOTIENT($C13,2^(16-COLUMN(A:A))),2),MOD(QUOTIENT(65536+$C13,2^(16-COLUMN(A:A))),2))</f>
        <v>0</v>
      </c>
      <c r="H13" s="2" cm="1">
        <f t="array" ref="H13">IF($C13&gt;=0,MOD(QUOTIENT($C13,2^(16-COLUMN(B:B))),2),MOD(QUOTIENT(65536+$C13,2^(16-COLUMN(B:B))),2))</f>
        <v>0</v>
      </c>
      <c r="I13" s="2" cm="1">
        <f t="array" ref="I13">IF($C13&gt;=0,MOD(QUOTIENT($C13,2^(16-COLUMN(C:C))),2),MOD(QUOTIENT(65536+$C13,2^(16-COLUMN(C:C))),2))</f>
        <v>1</v>
      </c>
      <c r="J13" s="2" cm="1">
        <f t="array" ref="J13">IF($C13&gt;=0,MOD(QUOTIENT($C13,2^(16-COLUMN(D:D))),2),MOD(QUOTIENT(65536+$C13,2^(16-COLUMN(D:D))),2))</f>
        <v>1</v>
      </c>
      <c r="K13" s="2" t="s">
        <v>25</v>
      </c>
      <c r="L13" s="2" cm="1">
        <f t="array" ref="L13">IF($C13&gt;=0,MOD(QUOTIENT($C13,2^(16-COLUMN(E:E))),2),MOD(QUOTIENT(65536+$C13,2^(16-COLUMN(E:E))),2))</f>
        <v>1</v>
      </c>
      <c r="M13" s="2" cm="1">
        <f t="array" ref="M13">IF($C13&gt;=0,MOD(QUOTIENT($C13,2^(16-COLUMN(F:F))),2),MOD(QUOTIENT(65536+$C13,2^(16-COLUMN(F:F))),2))</f>
        <v>1</v>
      </c>
      <c r="N13" s="2" cm="1">
        <f t="array" ref="N13">IF($C13&gt;=0,MOD(QUOTIENT($C13,2^(16-COLUMN(G:G))),2),MOD(QUOTIENT(65536+$C13,2^(16-COLUMN(G:G))),2))</f>
        <v>1</v>
      </c>
      <c r="O13" s="2" cm="1">
        <f t="array" ref="O13">IF($C13&gt;=0,MOD(QUOTIENT($C13,2^(16-COLUMN(H:H))),2),MOD(QUOTIENT(65536+$C13,2^(16-COLUMN(H:H))),2))</f>
        <v>1</v>
      </c>
      <c r="P13" s="2" t="s">
        <v>25</v>
      </c>
      <c r="Q13" s="2" cm="1">
        <f t="array" ref="Q13">IF($C13&gt;=0,MOD(QUOTIENT($C13,2^(16-COLUMN(I:I))),2),MOD(QUOTIENT(65536+$C13,2^(16-COLUMN(I:I))),2))</f>
        <v>0</v>
      </c>
      <c r="R13" s="2" cm="1">
        <f t="array" ref="R13">IF($C13&gt;=0,MOD(QUOTIENT($C13,2^(16-COLUMN(J:J))),2),MOD(QUOTIENT(65536+$C13,2^(16-COLUMN(J:J))),2))</f>
        <v>0</v>
      </c>
      <c r="S13" s="2" cm="1">
        <f t="array" ref="S13">IF($C13&gt;=0,MOD(QUOTIENT($C13,2^(16-COLUMN(K:K))),2),MOD(QUOTIENT(65536+$C13,2^(16-COLUMN(K:K))),2))</f>
        <v>1</v>
      </c>
      <c r="T13" s="2" cm="1">
        <f t="array" ref="T13">IF($C13&gt;=0,MOD(QUOTIENT($C13,2^(16-COLUMN(L:L))),2),MOD(QUOTIENT(65536+$C13,2^(16-COLUMN(L:L))),2))</f>
        <v>1</v>
      </c>
      <c r="U13" s="2" t="s">
        <v>25</v>
      </c>
      <c r="V13" s="2" cm="1">
        <f t="array" ref="V13">IF($C13&gt;=0,MOD(QUOTIENT($C13,2^(16-COLUMN(M:M))),2),MOD(QUOTIENT(65536+$C13,2^(16-COLUMN(M:M))),2))</f>
        <v>1</v>
      </c>
      <c r="W13" s="2" cm="1">
        <f t="array" ref="W13">IF($C13&gt;=0,MOD(QUOTIENT($C13,2^(16-COLUMN(N:N))),2),MOD(QUOTIENT(65536+$C13,2^(16-COLUMN(N:N))),2))</f>
        <v>0</v>
      </c>
      <c r="X13" s="2" cm="1">
        <f t="array" ref="X13">IF($C13&gt;=0,MOD(QUOTIENT($C13,2^(16-COLUMN(O:O))),2),MOD(QUOTIENT(65536+$C13,2^(16-COLUMN(O:O))),2))</f>
        <v>0</v>
      </c>
      <c r="Y13" s="2" cm="1">
        <f t="array" ref="Y13">IF($C13&gt;=0,MOD(QUOTIENT($C13,2^(16-COLUMN(P:P))),2),MOD(QUOTIENT(65536+$C13,2^(16-COLUMN(P:P))),2))</f>
        <v>0</v>
      </c>
      <c r="Z13" s="2"/>
      <c r="AA13" s="2"/>
      <c r="AB13" s="2"/>
      <c r="AC13" s="2"/>
      <c r="AD13" s="2"/>
      <c r="AE13" s="2"/>
      <c r="AF13" s="2"/>
    </row>
    <row r="14" spans="1:32" x14ac:dyDescent="0.35">
      <c r="A14" s="1" t="s">
        <v>20</v>
      </c>
      <c r="B14" s="2" t="s">
        <v>21</v>
      </c>
      <c r="C14" s="2">
        <f t="shared" si="0"/>
        <v>-8299</v>
      </c>
      <c r="D14" s="2"/>
      <c r="E14" s="2" t="s">
        <v>35</v>
      </c>
      <c r="F14" s="2" t="s">
        <v>41</v>
      </c>
      <c r="G14" s="2" cm="1">
        <f t="array" ref="G14">IF($C14&gt;=0,MOD(QUOTIENT($C14,2^(16-COLUMN(A:A))),2),MOD(QUOTIENT(65536+$C14,2^(16-COLUMN(A:A))),2))</f>
        <v>1</v>
      </c>
      <c r="H14" s="2" cm="1">
        <f t="array" ref="H14">IF($C14&gt;=0,MOD(QUOTIENT($C14,2^(16-COLUMN(B:B))),2),MOD(QUOTIENT(65536+$C14,2^(16-COLUMN(B:B))),2))</f>
        <v>1</v>
      </c>
      <c r="I14" s="2" cm="1">
        <f t="array" ref="I14">IF($C14&gt;=0,MOD(QUOTIENT($C14,2^(16-COLUMN(C:C))),2),MOD(QUOTIENT(65536+$C14,2^(16-COLUMN(C:C))),2))</f>
        <v>0</v>
      </c>
      <c r="J14" s="2" cm="1">
        <f t="array" ref="J14">IF($C14&gt;=0,MOD(QUOTIENT($C14,2^(16-COLUMN(D:D))),2),MOD(QUOTIENT(65536+$C14,2^(16-COLUMN(D:D))),2))</f>
        <v>1</v>
      </c>
      <c r="K14" s="2" t="s">
        <v>25</v>
      </c>
      <c r="L14" s="2" cm="1">
        <f t="array" ref="L14">IF($C14&gt;=0,MOD(QUOTIENT($C14,2^(16-COLUMN(E:E))),2),MOD(QUOTIENT(65536+$C14,2^(16-COLUMN(E:E))),2))</f>
        <v>1</v>
      </c>
      <c r="M14" s="2" cm="1">
        <f t="array" ref="M14">IF($C14&gt;=0,MOD(QUOTIENT($C14,2^(16-COLUMN(F:F))),2),MOD(QUOTIENT(65536+$C14,2^(16-COLUMN(F:F))),2))</f>
        <v>1</v>
      </c>
      <c r="N14" s="2" cm="1">
        <f t="array" ref="N14">IF($C14&gt;=0,MOD(QUOTIENT($C14,2^(16-COLUMN(G:G))),2),MOD(QUOTIENT(65536+$C14,2^(16-COLUMN(G:G))),2))</f>
        <v>1</v>
      </c>
      <c r="O14" s="2" cm="1">
        <f t="array" ref="O14">IF($C14&gt;=0,MOD(QUOTIENT($C14,2^(16-COLUMN(H:H))),2),MOD(QUOTIENT(65536+$C14,2^(16-COLUMN(H:H))),2))</f>
        <v>1</v>
      </c>
      <c r="P14" s="2" t="s">
        <v>25</v>
      </c>
      <c r="Q14" s="2" cm="1">
        <f t="array" ref="Q14">IF($C14&gt;=0,MOD(QUOTIENT($C14,2^(16-COLUMN(I:I))),2),MOD(QUOTIENT(65536+$C14,2^(16-COLUMN(I:I))),2))</f>
        <v>1</v>
      </c>
      <c r="R14" s="2" cm="1">
        <f t="array" ref="R14">IF($C14&gt;=0,MOD(QUOTIENT($C14,2^(16-COLUMN(J:J))),2),MOD(QUOTIENT(65536+$C14,2^(16-COLUMN(J:J))),2))</f>
        <v>0</v>
      </c>
      <c r="S14" s="2" cm="1">
        <f t="array" ref="S14">IF($C14&gt;=0,MOD(QUOTIENT($C14,2^(16-COLUMN(K:K))),2),MOD(QUOTIENT(65536+$C14,2^(16-COLUMN(K:K))),2))</f>
        <v>0</v>
      </c>
      <c r="T14" s="2" cm="1">
        <f t="array" ref="T14">IF($C14&gt;=0,MOD(QUOTIENT($C14,2^(16-COLUMN(L:L))),2),MOD(QUOTIENT(65536+$C14,2^(16-COLUMN(L:L))),2))</f>
        <v>1</v>
      </c>
      <c r="U14" s="2" t="s">
        <v>25</v>
      </c>
      <c r="V14" s="2" cm="1">
        <f t="array" ref="V14">IF($C14&gt;=0,MOD(QUOTIENT($C14,2^(16-COLUMN(M:M))),2),MOD(QUOTIENT(65536+$C14,2^(16-COLUMN(M:M))),2))</f>
        <v>0</v>
      </c>
      <c r="W14" s="2" cm="1">
        <f t="array" ref="W14">IF($C14&gt;=0,MOD(QUOTIENT($C14,2^(16-COLUMN(N:N))),2),MOD(QUOTIENT(65536+$C14,2^(16-COLUMN(N:N))),2))</f>
        <v>1</v>
      </c>
      <c r="X14" s="2" cm="1">
        <f t="array" ref="X14">IF($C14&gt;=0,MOD(QUOTIENT($C14,2^(16-COLUMN(O:O))),2),MOD(QUOTIENT(65536+$C14,2^(16-COLUMN(O:O))),2))</f>
        <v>0</v>
      </c>
      <c r="Y14" s="2" cm="1">
        <f t="array" ref="Y14">IF($C14&gt;=0,MOD(QUOTIENT($C14,2^(16-COLUMN(P:P))),2),MOD(QUOTIENT(65536+$C14,2^(16-COLUMN(P:P))),2))</f>
        <v>1</v>
      </c>
      <c r="Z14" s="2"/>
      <c r="AA14" s="2"/>
      <c r="AB14" s="2"/>
      <c r="AC14" s="2"/>
      <c r="AD14" s="2"/>
      <c r="AE14" s="2"/>
      <c r="AF14" s="2"/>
    </row>
    <row r="15" spans="1:32" x14ac:dyDescent="0.35">
      <c r="A15" s="1" t="s">
        <v>22</v>
      </c>
      <c r="B15" s="2" t="s">
        <v>23</v>
      </c>
      <c r="C15" s="2">
        <f t="shared" si="0"/>
        <v>-16184</v>
      </c>
      <c r="D15" s="2"/>
      <c r="E15" s="2" t="s">
        <v>36</v>
      </c>
      <c r="F15" s="2" t="s">
        <v>42</v>
      </c>
      <c r="G15" s="2" cm="1">
        <f t="array" ref="G15">IF($C15&gt;=0,MOD(QUOTIENT($C15,2^(16-COLUMN(A:A))),2),MOD(QUOTIENT(65536+$C15,2^(16-COLUMN(A:A))),2))</f>
        <v>1</v>
      </c>
      <c r="H15" s="2" cm="1">
        <f t="array" ref="H15">IF($C15&gt;=0,MOD(QUOTIENT($C15,2^(16-COLUMN(B:B))),2),MOD(QUOTIENT(65536+$C15,2^(16-COLUMN(B:B))),2))</f>
        <v>1</v>
      </c>
      <c r="I15" s="2" cm="1">
        <f t="array" ref="I15">IF($C15&gt;=0,MOD(QUOTIENT($C15,2^(16-COLUMN(C:C))),2),MOD(QUOTIENT(65536+$C15,2^(16-COLUMN(C:C))),2))</f>
        <v>0</v>
      </c>
      <c r="J15" s="2" cm="1">
        <f t="array" ref="J15">IF($C15&gt;=0,MOD(QUOTIENT($C15,2^(16-COLUMN(D:D))),2),MOD(QUOTIENT(65536+$C15,2^(16-COLUMN(D:D))),2))</f>
        <v>0</v>
      </c>
      <c r="K15" s="2" t="s">
        <v>25</v>
      </c>
      <c r="L15" s="2" cm="1">
        <f t="array" ref="L15">IF($C15&gt;=0,MOD(QUOTIENT($C15,2^(16-COLUMN(E:E))),2),MOD(QUOTIENT(65536+$C15,2^(16-COLUMN(E:E))),2))</f>
        <v>0</v>
      </c>
      <c r="M15" s="2" cm="1">
        <f t="array" ref="M15">IF($C15&gt;=0,MOD(QUOTIENT($C15,2^(16-COLUMN(F:F))),2),MOD(QUOTIENT(65536+$C15,2^(16-COLUMN(F:F))),2))</f>
        <v>0</v>
      </c>
      <c r="N15" s="2" cm="1">
        <f t="array" ref="N15">IF($C15&gt;=0,MOD(QUOTIENT($C15,2^(16-COLUMN(G:G))),2),MOD(QUOTIENT(65536+$C15,2^(16-COLUMN(G:G))),2))</f>
        <v>0</v>
      </c>
      <c r="O15" s="2" cm="1">
        <f t="array" ref="O15">IF($C15&gt;=0,MOD(QUOTIENT($C15,2^(16-COLUMN(H:H))),2),MOD(QUOTIENT(65536+$C15,2^(16-COLUMN(H:H))),2))</f>
        <v>0</v>
      </c>
      <c r="P15" s="2" t="s">
        <v>25</v>
      </c>
      <c r="Q15" s="2" cm="1">
        <f t="array" ref="Q15">IF($C15&gt;=0,MOD(QUOTIENT($C15,2^(16-COLUMN(I:I))),2),MOD(QUOTIENT(65536+$C15,2^(16-COLUMN(I:I))),2))</f>
        <v>1</v>
      </c>
      <c r="R15" s="2" cm="1">
        <f t="array" ref="R15">IF($C15&gt;=0,MOD(QUOTIENT($C15,2^(16-COLUMN(J:J))),2),MOD(QUOTIENT(65536+$C15,2^(16-COLUMN(J:J))),2))</f>
        <v>1</v>
      </c>
      <c r="S15" s="2" cm="1">
        <f t="array" ref="S15">IF($C15&gt;=0,MOD(QUOTIENT($C15,2^(16-COLUMN(K:K))),2),MOD(QUOTIENT(65536+$C15,2^(16-COLUMN(K:K))),2))</f>
        <v>0</v>
      </c>
      <c r="T15" s="2" cm="1">
        <f t="array" ref="T15">IF($C15&gt;=0,MOD(QUOTIENT($C15,2^(16-COLUMN(L:L))),2),MOD(QUOTIENT(65536+$C15,2^(16-COLUMN(L:L))),2))</f>
        <v>0</v>
      </c>
      <c r="U15" s="2" t="s">
        <v>25</v>
      </c>
      <c r="V15" s="2" cm="1">
        <f t="array" ref="V15">IF($C15&gt;=0,MOD(QUOTIENT($C15,2^(16-COLUMN(M:M))),2),MOD(QUOTIENT(65536+$C15,2^(16-COLUMN(M:M))),2))</f>
        <v>1</v>
      </c>
      <c r="W15" s="2" cm="1">
        <f t="array" ref="W15">IF($C15&gt;=0,MOD(QUOTIENT($C15,2^(16-COLUMN(N:N))),2),MOD(QUOTIENT(65536+$C15,2^(16-COLUMN(N:N))),2))</f>
        <v>0</v>
      </c>
      <c r="X15" s="2" cm="1">
        <f t="array" ref="X15">IF($C15&gt;=0,MOD(QUOTIENT($C15,2^(16-COLUMN(O:O))),2),MOD(QUOTIENT(65536+$C15,2^(16-COLUMN(O:O))),2))</f>
        <v>0</v>
      </c>
      <c r="Y15" s="2" cm="1">
        <f t="array" ref="Y15">IF($C15&gt;=0,MOD(QUOTIENT($C15,2^(16-COLUMN(P:P))),2),MOD(QUOTIENT(65536+$C15,2^(16-COLUMN(P:P))),2))</f>
        <v>0</v>
      </c>
      <c r="Z15" s="2"/>
      <c r="AA15" s="2"/>
      <c r="AB15" s="2"/>
      <c r="AC15" s="2"/>
      <c r="AD15" s="2"/>
      <c r="AE15" s="2"/>
      <c r="AF15" s="2"/>
    </row>
    <row r="16" spans="1:32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5" x14ac:dyDescent="0.35">
      <c r="B17" s="2"/>
      <c r="C17" s="2"/>
      <c r="D17" s="2"/>
      <c r="E17" s="2"/>
      <c r="F17" s="2" t="str">
        <f t="shared" ref="F17:W17" si="1">IF(SUM(G17:G19)&gt;1,1,"")</f>
        <v/>
      </c>
      <c r="G17" s="7" t="str">
        <f t="shared" si="1"/>
        <v/>
      </c>
      <c r="H17" s="7" t="str">
        <f t="shared" si="1"/>
        <v/>
      </c>
      <c r="I17" s="7" t="str">
        <f t="shared" si="1"/>
        <v/>
      </c>
      <c r="J17" s="7">
        <f>IF(SUM(L17:L19)&gt;1,1,"")</f>
        <v>1</v>
      </c>
      <c r="K17" s="7"/>
      <c r="L17" s="7" t="str">
        <f t="shared" si="1"/>
        <v/>
      </c>
      <c r="M17" s="7">
        <f t="shared" si="1"/>
        <v>1</v>
      </c>
      <c r="N17" s="7" t="str">
        <f t="shared" si="1"/>
        <v/>
      </c>
      <c r="O17" s="7" t="str">
        <f>IF(SUM(Q17:Q19)&gt;1,1,"")</f>
        <v/>
      </c>
      <c r="P17" s="7"/>
      <c r="Q17" s="7" t="str">
        <f t="shared" si="1"/>
        <v/>
      </c>
      <c r="R17" s="7" t="str">
        <f t="shared" si="1"/>
        <v/>
      </c>
      <c r="S17" s="7" t="str">
        <f t="shared" si="1"/>
        <v/>
      </c>
      <c r="T17" s="7" t="str">
        <f>IF(SUM(V17:V19)&gt;1,1,"")</f>
        <v/>
      </c>
      <c r="U17" s="7"/>
      <c r="V17" s="7" t="str">
        <f t="shared" si="1"/>
        <v/>
      </c>
      <c r="W17" s="7" t="str">
        <f t="shared" si="1"/>
        <v/>
      </c>
      <c r="X17" s="7" t="str">
        <f>IF(SUM(Y17:Y19)&gt;1,1,"")</f>
        <v/>
      </c>
      <c r="Y17" s="7"/>
      <c r="Z17" s="2"/>
      <c r="AA17" s="2"/>
      <c r="AB17" s="2"/>
      <c r="AC17" s="2"/>
      <c r="AD17" s="2"/>
      <c r="AE17" s="2"/>
      <c r="AF17" s="2"/>
      <c r="AI17" s="8" t="str">
        <f>IF(AND(AG18&gt;0,AG19&gt;0),IF(AG20&lt;2^15,"Результат корректный","При сложении положительных чисел получен отрицательный результат  ПЕРЕПОЛНЕНИЕ"),IF(AND(AG18&lt;0,AG19&lt;0),IF(ABS(AG18)+ABS(AG19)&lt;2^15,"Результат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ПЕРЕПОЛНЕНИЕ"),IF(AND(AG18&gt;0,AG19&lt;0),IF(ABS(AG18)&gt;ABS(AG19),"Результат корректный. Перенос из старшего разряда не учитывается","Результат корректный"),IF(ABS(AG19)&gt;ABS(AG18),"Результат корректный. Перенос из старшего разряда не учитывается","Результат корректный"))))</f>
        <v>Результат корректный</v>
      </c>
    </row>
    <row r="18" spans="2:35" ht="16.5" x14ac:dyDescent="0.45">
      <c r="B18" s="2"/>
      <c r="C18" s="2"/>
      <c r="D18" s="2"/>
      <c r="E18" s="2" t="s">
        <v>43</v>
      </c>
      <c r="F18" s="2"/>
      <c r="G18" s="2">
        <f>G4</f>
        <v>0</v>
      </c>
      <c r="H18" s="2">
        <f t="shared" ref="H18:J19" si="2">H4</f>
        <v>0</v>
      </c>
      <c r="I18" s="2">
        <f t="shared" si="2"/>
        <v>1</v>
      </c>
      <c r="J18" s="2">
        <f t="shared" si="2"/>
        <v>0</v>
      </c>
      <c r="K18" s="2" t="s">
        <v>25</v>
      </c>
      <c r="L18" s="2">
        <f>L4</f>
        <v>1</v>
      </c>
      <c r="M18" s="2">
        <f t="shared" ref="M18:O19" si="3">M4</f>
        <v>0</v>
      </c>
      <c r="N18" s="2">
        <f t="shared" si="3"/>
        <v>1</v>
      </c>
      <c r="O18" s="2">
        <f t="shared" si="3"/>
        <v>0</v>
      </c>
      <c r="P18" s="2" t="s">
        <v>25</v>
      </c>
      <c r="Q18" s="2">
        <f>Q4</f>
        <v>1</v>
      </c>
      <c r="R18" s="2">
        <f t="shared" ref="R18:T19" si="4">R4</f>
        <v>0</v>
      </c>
      <c r="S18" s="2">
        <f t="shared" si="4"/>
        <v>1</v>
      </c>
      <c r="T18" s="2">
        <f t="shared" si="4"/>
        <v>0</v>
      </c>
      <c r="U18" s="2" t="s">
        <v>25</v>
      </c>
      <c r="V18" s="2">
        <f>V4</f>
        <v>0</v>
      </c>
      <c r="W18" s="2">
        <f t="shared" ref="W18:Y19" si="5">W4</f>
        <v>1</v>
      </c>
      <c r="X18" s="2">
        <f t="shared" si="5"/>
        <v>1</v>
      </c>
      <c r="Y18" s="2">
        <f t="shared" si="5"/>
        <v>0</v>
      </c>
      <c r="Z18" s="2"/>
      <c r="AA18" s="2"/>
      <c r="AB18" s="2"/>
      <c r="AC18" s="2"/>
      <c r="AD18" s="2"/>
      <c r="AE18" s="2" t="s">
        <v>49</v>
      </c>
      <c r="AF18" s="2"/>
      <c r="AG18" s="2">
        <f>C4</f>
        <v>10918</v>
      </c>
    </row>
    <row r="19" spans="2:35" ht="16.5" x14ac:dyDescent="0.45">
      <c r="B19" s="2"/>
      <c r="C19" s="2"/>
      <c r="D19" s="2" t="s">
        <v>45</v>
      </c>
      <c r="E19" s="6" t="s">
        <v>44</v>
      </c>
      <c r="F19" s="6"/>
      <c r="G19" s="6">
        <f>G5</f>
        <v>0</v>
      </c>
      <c r="H19" s="6">
        <f t="shared" si="2"/>
        <v>1</v>
      </c>
      <c r="I19" s="6">
        <f t="shared" si="2"/>
        <v>0</v>
      </c>
      <c r="J19" s="6">
        <f t="shared" si="2"/>
        <v>0</v>
      </c>
      <c r="K19" s="6" t="s">
        <v>25</v>
      </c>
      <c r="L19" s="6">
        <f>L5</f>
        <v>1</v>
      </c>
      <c r="M19" s="6">
        <f t="shared" si="3"/>
        <v>0</v>
      </c>
      <c r="N19" s="6">
        <f t="shared" si="3"/>
        <v>1</v>
      </c>
      <c r="O19" s="6">
        <f t="shared" si="3"/>
        <v>1</v>
      </c>
      <c r="P19" s="6" t="s">
        <v>25</v>
      </c>
      <c r="Q19" s="6">
        <f>Q5</f>
        <v>0</v>
      </c>
      <c r="R19" s="6">
        <f t="shared" si="4"/>
        <v>0</v>
      </c>
      <c r="S19" s="6">
        <f t="shared" si="4"/>
        <v>0</v>
      </c>
      <c r="T19" s="6">
        <f t="shared" si="4"/>
        <v>1</v>
      </c>
      <c r="U19" s="6" t="s">
        <v>25</v>
      </c>
      <c r="V19" s="6">
        <f>V5</f>
        <v>0</v>
      </c>
      <c r="W19" s="6">
        <f t="shared" si="5"/>
        <v>0</v>
      </c>
      <c r="X19" s="6">
        <f t="shared" si="5"/>
        <v>0</v>
      </c>
      <c r="Y19" s="6">
        <f t="shared" si="5"/>
        <v>1</v>
      </c>
      <c r="Z19" s="2"/>
      <c r="AA19" s="2"/>
      <c r="AB19" s="2"/>
      <c r="AC19" s="2"/>
      <c r="AD19" s="2" t="s">
        <v>45</v>
      </c>
      <c r="AE19" s="6" t="s">
        <v>50</v>
      </c>
      <c r="AF19" s="6"/>
      <c r="AG19" s="6">
        <f>C5</f>
        <v>19217</v>
      </c>
    </row>
    <row r="20" spans="2:35" ht="16.5" x14ac:dyDescent="0.45">
      <c r="B20" s="2"/>
      <c r="C20" s="2"/>
      <c r="D20" s="2"/>
      <c r="E20" s="2"/>
      <c r="F20" s="2"/>
      <c r="G20" s="2">
        <f t="shared" ref="G20:X20" si="6">MOD(SUM(G17:G19),2)</f>
        <v>0</v>
      </c>
      <c r="H20" s="2">
        <f t="shared" si="6"/>
        <v>1</v>
      </c>
      <c r="I20" s="2">
        <f t="shared" si="6"/>
        <v>1</v>
      </c>
      <c r="J20" s="2">
        <f t="shared" si="6"/>
        <v>1</v>
      </c>
      <c r="K20" s="2" t="s">
        <v>25</v>
      </c>
      <c r="L20" s="2">
        <f t="shared" si="6"/>
        <v>0</v>
      </c>
      <c r="M20" s="2">
        <f t="shared" si="6"/>
        <v>1</v>
      </c>
      <c r="N20" s="2">
        <f t="shared" si="6"/>
        <v>0</v>
      </c>
      <c r="O20" s="2">
        <f t="shared" si="6"/>
        <v>1</v>
      </c>
      <c r="P20" s="2" t="s">
        <v>25</v>
      </c>
      <c r="Q20" s="2">
        <f t="shared" si="6"/>
        <v>1</v>
      </c>
      <c r="R20" s="2">
        <f t="shared" si="6"/>
        <v>0</v>
      </c>
      <c r="S20" s="2">
        <f t="shared" si="6"/>
        <v>1</v>
      </c>
      <c r="T20" s="2">
        <f t="shared" si="6"/>
        <v>1</v>
      </c>
      <c r="U20" s="2" t="s">
        <v>25</v>
      </c>
      <c r="V20" s="2">
        <f t="shared" si="6"/>
        <v>0</v>
      </c>
      <c r="W20" s="2">
        <f t="shared" si="6"/>
        <v>1</v>
      </c>
      <c r="X20" s="2">
        <f t="shared" si="6"/>
        <v>1</v>
      </c>
      <c r="Y20" s="2">
        <f>MOD(SUM(Y17:Y19),2)</f>
        <v>1</v>
      </c>
      <c r="Z20" s="4" t="s">
        <v>46</v>
      </c>
      <c r="AA20" s="2">
        <f>IF(G20=1,_xlfn.DECIMAL(G20&amp;H20&amp;I20&amp;J20&amp;L20&amp;M20&amp;N20&amp;O20&amp;Q20&amp;R20&amp;S20&amp;T20&amp;V20&amp;W20&amp;X20&amp;Y20,2)-65536,_xlfn.DECIMAL(G20&amp;H20&amp;I20&amp;J20&amp;L20&amp;M20&amp;N20&amp;O20&amp;Q20&amp;R20&amp;S20&amp;T20&amp;V20&amp;W20&amp;X20&amp;Y20,2))</f>
        <v>30135</v>
      </c>
      <c r="AB20" s="5" t="s">
        <v>47</v>
      </c>
      <c r="AC20" s="2" t="s">
        <v>48</v>
      </c>
      <c r="AD20" s="2"/>
      <c r="AE20" s="2"/>
      <c r="AF20" s="2"/>
      <c r="AG20">
        <f>AG18+AG19</f>
        <v>30135</v>
      </c>
      <c r="AH20" s="3" t="s">
        <v>47</v>
      </c>
    </row>
    <row r="21" spans="2:35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5" x14ac:dyDescent="0.35">
      <c r="B22" s="2"/>
      <c r="C22" s="2"/>
      <c r="D22" s="2"/>
      <c r="E22" s="2"/>
      <c r="F22" s="2"/>
      <c r="G22" s="2" t="s">
        <v>51</v>
      </c>
      <c r="H22" s="2">
        <f>IF(F17=1,1,0)</f>
        <v>0</v>
      </c>
      <c r="I22" s="2"/>
      <c r="J22" s="2" t="s">
        <v>52</v>
      </c>
      <c r="K22" s="2">
        <f>1-MOD(SUM(Q20:T20)+SUM(V20:Y20),2)</f>
        <v>1</v>
      </c>
      <c r="L22" s="2"/>
      <c r="M22" s="2" t="s">
        <v>53</v>
      </c>
      <c r="N22" s="2">
        <f>IF(T17=1,1,0)</f>
        <v>0</v>
      </c>
      <c r="O22" s="2"/>
      <c r="P22" s="2" t="s">
        <v>54</v>
      </c>
      <c r="Q22" s="2">
        <f>IF(SUM(G20:Y20)=0,1,0)</f>
        <v>0</v>
      </c>
      <c r="R22" s="2"/>
      <c r="S22" s="2" t="s">
        <v>55</v>
      </c>
      <c r="T22" s="2">
        <f>G20</f>
        <v>0</v>
      </c>
      <c r="U22" s="2"/>
      <c r="V22" s="2" t="s">
        <v>56</v>
      </c>
      <c r="W22" s="2">
        <f>IF(G17=F17,0,1)</f>
        <v>0</v>
      </c>
      <c r="X22" s="2"/>
      <c r="Y22" s="2"/>
      <c r="Z22" s="2"/>
      <c r="AA22" s="2"/>
      <c r="AB22" s="2"/>
      <c r="AC22" s="2"/>
      <c r="AD22" s="2"/>
      <c r="AE22" s="2"/>
      <c r="AF22" s="2"/>
    </row>
    <row r="23" spans="2:3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5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5" ht="87" x14ac:dyDescent="0.35">
      <c r="B25" s="2"/>
      <c r="C25" s="2"/>
      <c r="D25" s="2"/>
      <c r="E25" s="2"/>
      <c r="F25" s="2" t="str">
        <f t="shared" ref="F25:I25" si="7">IF(SUM(G25:G27)&gt;1,1,"")</f>
        <v/>
      </c>
      <c r="G25" s="7">
        <f t="shared" si="7"/>
        <v>1</v>
      </c>
      <c r="H25" s="7">
        <f t="shared" si="7"/>
        <v>1</v>
      </c>
      <c r="I25" s="7">
        <f t="shared" si="7"/>
        <v>1</v>
      </c>
      <c r="J25" s="7">
        <f>IF(SUM(L25:L27)&gt;1,1,"")</f>
        <v>1</v>
      </c>
      <c r="K25" s="7"/>
      <c r="L25" s="7">
        <f t="shared" ref="L25:N25" si="8">IF(SUM(M25:M27)&gt;1,1,"")</f>
        <v>1</v>
      </c>
      <c r="M25" s="7">
        <f t="shared" si="8"/>
        <v>1</v>
      </c>
      <c r="N25" s="7">
        <f t="shared" si="8"/>
        <v>1</v>
      </c>
      <c r="O25" s="7" t="str">
        <f>IF(SUM(Q25:Q27)&gt;1,1,"")</f>
        <v/>
      </c>
      <c r="P25" s="7"/>
      <c r="Q25" s="7" t="str">
        <f t="shared" ref="Q25:S25" si="9">IF(SUM(R25:R27)&gt;1,1,"")</f>
        <v/>
      </c>
      <c r="R25" s="7">
        <f t="shared" si="9"/>
        <v>1</v>
      </c>
      <c r="S25" s="7">
        <f t="shared" si="9"/>
        <v>1</v>
      </c>
      <c r="T25" s="7" t="str">
        <f>IF(SUM(V25:V27)&gt;1,1,"")</f>
        <v/>
      </c>
      <c r="U25" s="7"/>
      <c r="V25" s="7">
        <f t="shared" ref="V25:W25" si="10">IF(SUM(W25:W27)&gt;1,1,"")</f>
        <v>1</v>
      </c>
      <c r="W25" s="7">
        <f t="shared" si="10"/>
        <v>1</v>
      </c>
      <c r="X25" s="7">
        <f>IF(SUM(Y25:Y27)&gt;1,1,"")</f>
        <v>1</v>
      </c>
      <c r="Y25" s="7"/>
      <c r="Z25" s="2"/>
      <c r="AA25" s="2"/>
      <c r="AB25" s="2"/>
      <c r="AC25" s="2"/>
      <c r="AD25" s="2"/>
      <c r="AE25" s="2"/>
      <c r="AF25" s="2"/>
      <c r="AI25" s="8" t="str">
        <f>IF(AND(AG26&gt;0,AG27&gt;0),IF(AG28&lt;2^15,"Результат корректный","При сложении положительных чисел получен отрицательный результат  ПЕРЕПОЛНЕНИЕ"),IF(AND(AG26&lt;0,AG27&lt;0),IF(ABS(AG26)+ABS(AG27)&lt;2^15,"Результат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ПЕРЕПОЛНЕНИЕ"),IF(AND(AG26&gt;0,AG27&lt;0),IF(ABS(AG26)&gt;ABS(AG27),"Результат корректный. Перенос из старшего разряда не учитывается","Результат корректный"),IF(ABS(AG27)&gt;ABS(AG26),"Результат корректный. Перенос из старшего разряда не учитывается","Результат корректный"))))</f>
        <v>При сложении положительных чисел получен отрицательный результат  ПЕРЕПОЛНЕНИЕ</v>
      </c>
    </row>
    <row r="26" spans="2:35" ht="16.5" x14ac:dyDescent="0.45">
      <c r="D26" s="2"/>
      <c r="E26" s="2" t="s">
        <v>44</v>
      </c>
      <c r="F26" s="2"/>
      <c r="G26" s="2">
        <f t="shared" ref="G26:X26" si="11">G5</f>
        <v>0</v>
      </c>
      <c r="H26" s="2">
        <f t="shared" si="11"/>
        <v>1</v>
      </c>
      <c r="I26" s="2">
        <f t="shared" si="11"/>
        <v>0</v>
      </c>
      <c r="J26" s="2">
        <f t="shared" si="11"/>
        <v>0</v>
      </c>
      <c r="K26" s="2" t="str">
        <f t="shared" si="11"/>
        <v>.</v>
      </c>
      <c r="L26" s="2">
        <f t="shared" si="11"/>
        <v>1</v>
      </c>
      <c r="M26" s="2">
        <f t="shared" si="11"/>
        <v>0</v>
      </c>
      <c r="N26" s="2">
        <f t="shared" si="11"/>
        <v>1</v>
      </c>
      <c r="O26" s="2">
        <f t="shared" si="11"/>
        <v>1</v>
      </c>
      <c r="P26" s="2" t="str">
        <f t="shared" si="11"/>
        <v>.</v>
      </c>
      <c r="Q26" s="2">
        <f t="shared" si="11"/>
        <v>0</v>
      </c>
      <c r="R26" s="2">
        <f t="shared" si="11"/>
        <v>0</v>
      </c>
      <c r="S26" s="2">
        <f t="shared" si="11"/>
        <v>0</v>
      </c>
      <c r="T26" s="2">
        <f t="shared" si="11"/>
        <v>1</v>
      </c>
      <c r="U26" s="2" t="str">
        <f t="shared" si="11"/>
        <v>.</v>
      </c>
      <c r="V26" s="2">
        <f t="shared" si="11"/>
        <v>0</v>
      </c>
      <c r="W26" s="2">
        <f t="shared" si="11"/>
        <v>0</v>
      </c>
      <c r="X26" s="2">
        <f t="shared" si="11"/>
        <v>0</v>
      </c>
      <c r="Y26" s="2">
        <f>Y5</f>
        <v>1</v>
      </c>
      <c r="Z26" s="2"/>
      <c r="AA26" s="2"/>
      <c r="AB26" s="2"/>
      <c r="AC26" s="2"/>
      <c r="AD26" s="2"/>
      <c r="AE26" s="2" t="s">
        <v>50</v>
      </c>
      <c r="AF26" s="2"/>
      <c r="AG26" s="2">
        <f>C5</f>
        <v>19217</v>
      </c>
    </row>
    <row r="27" spans="2:35" ht="16.5" x14ac:dyDescent="0.45">
      <c r="D27" s="2" t="s">
        <v>45</v>
      </c>
      <c r="E27" s="6" t="s">
        <v>57</v>
      </c>
      <c r="F27" s="6"/>
      <c r="G27" s="6">
        <f t="shared" ref="G27:X27" si="12">G6</f>
        <v>0</v>
      </c>
      <c r="H27" s="6">
        <f t="shared" si="12"/>
        <v>1</v>
      </c>
      <c r="I27" s="6">
        <f t="shared" si="12"/>
        <v>1</v>
      </c>
      <c r="J27" s="6">
        <f t="shared" si="12"/>
        <v>1</v>
      </c>
      <c r="K27" s="6" t="str">
        <f t="shared" si="12"/>
        <v>.</v>
      </c>
      <c r="L27" s="6">
        <f t="shared" si="12"/>
        <v>0</v>
      </c>
      <c r="M27" s="6">
        <f t="shared" si="12"/>
        <v>1</v>
      </c>
      <c r="N27" s="6">
        <f t="shared" si="12"/>
        <v>0</v>
      </c>
      <c r="O27" s="6">
        <f t="shared" si="12"/>
        <v>1</v>
      </c>
      <c r="P27" s="6" t="str">
        <f t="shared" si="12"/>
        <v>.</v>
      </c>
      <c r="Q27" s="6">
        <f t="shared" si="12"/>
        <v>1</v>
      </c>
      <c r="R27" s="6">
        <f t="shared" si="12"/>
        <v>0</v>
      </c>
      <c r="S27" s="6">
        <f t="shared" si="12"/>
        <v>1</v>
      </c>
      <c r="T27" s="6">
        <f t="shared" si="12"/>
        <v>1</v>
      </c>
      <c r="U27" s="6" t="str">
        <f t="shared" si="12"/>
        <v>.</v>
      </c>
      <c r="V27" s="6">
        <f t="shared" si="12"/>
        <v>0</v>
      </c>
      <c r="W27" s="6">
        <f t="shared" si="12"/>
        <v>1</v>
      </c>
      <c r="X27" s="6">
        <f t="shared" si="12"/>
        <v>1</v>
      </c>
      <c r="Y27" s="6">
        <f>Y6</f>
        <v>1</v>
      </c>
      <c r="Z27" s="2"/>
      <c r="AA27" s="2"/>
      <c r="AB27" s="2"/>
      <c r="AC27" s="2"/>
      <c r="AD27" s="2" t="s">
        <v>45</v>
      </c>
      <c r="AE27" s="6" t="s">
        <v>58</v>
      </c>
      <c r="AF27" s="6"/>
      <c r="AG27" s="6">
        <f>C6</f>
        <v>30135</v>
      </c>
    </row>
    <row r="28" spans="2:35" ht="16.5" x14ac:dyDescent="0.45">
      <c r="D28" s="2"/>
      <c r="E28" s="2"/>
      <c r="F28" s="2"/>
      <c r="G28" s="2">
        <f t="shared" ref="G28" si="13">MOD(SUM(G25:G27),2)</f>
        <v>1</v>
      </c>
      <c r="H28" s="2">
        <f t="shared" ref="H28" si="14">MOD(SUM(H25:H27),2)</f>
        <v>1</v>
      </c>
      <c r="I28" s="2">
        <f t="shared" ref="I28" si="15">MOD(SUM(I25:I27),2)</f>
        <v>0</v>
      </c>
      <c r="J28" s="2">
        <f t="shared" ref="J28" si="16">MOD(SUM(J25:J27),2)</f>
        <v>0</v>
      </c>
      <c r="K28" s="2" t="s">
        <v>25</v>
      </c>
      <c r="L28" s="2">
        <f t="shared" ref="L28" si="17">MOD(SUM(L25:L27),2)</f>
        <v>0</v>
      </c>
      <c r="M28" s="2">
        <f t="shared" ref="M28" si="18">MOD(SUM(M25:M27),2)</f>
        <v>0</v>
      </c>
      <c r="N28" s="2">
        <f t="shared" ref="N28" si="19">MOD(SUM(N25:N27),2)</f>
        <v>0</v>
      </c>
      <c r="O28" s="2">
        <f t="shared" ref="O28" si="20">MOD(SUM(O25:O27),2)</f>
        <v>0</v>
      </c>
      <c r="P28" s="2" t="s">
        <v>25</v>
      </c>
      <c r="Q28" s="2">
        <f t="shared" ref="Q28" si="21">MOD(SUM(Q25:Q27),2)</f>
        <v>1</v>
      </c>
      <c r="R28" s="2">
        <f t="shared" ref="R28" si="22">MOD(SUM(R25:R27),2)</f>
        <v>1</v>
      </c>
      <c r="S28" s="2">
        <f t="shared" ref="S28" si="23">MOD(SUM(S25:S27),2)</f>
        <v>0</v>
      </c>
      <c r="T28" s="2">
        <f t="shared" ref="T28" si="24">MOD(SUM(T25:T27),2)</f>
        <v>0</v>
      </c>
      <c r="U28" s="2" t="s">
        <v>25</v>
      </c>
      <c r="V28" s="2">
        <f t="shared" ref="V28" si="25">MOD(SUM(V25:V27),2)</f>
        <v>1</v>
      </c>
      <c r="W28" s="2">
        <f t="shared" ref="W28" si="26">MOD(SUM(W25:W27),2)</f>
        <v>0</v>
      </c>
      <c r="X28" s="2">
        <f t="shared" ref="X28" si="27">MOD(SUM(X25:X27),2)</f>
        <v>0</v>
      </c>
      <c r="Y28" s="2">
        <f>MOD(SUM(Y25:Y27),2)</f>
        <v>0</v>
      </c>
      <c r="Z28" s="4" t="s">
        <v>46</v>
      </c>
      <c r="AA28" s="2">
        <f>IF(G28=1,_xlfn.DECIMAL(G28&amp;H28&amp;I28&amp;J28&amp;L28&amp;M28&amp;N28&amp;O28&amp;Q28&amp;R28&amp;S28&amp;T28&amp;V28&amp;W28&amp;X28&amp;Y28,2)-65536,_xlfn.DECIMAL(G28&amp;H28&amp;I28&amp;J28&amp;L28&amp;M28&amp;N28&amp;O28&amp;Q28&amp;R28&amp;S28&amp;T28&amp;V28&amp;W28&amp;X28&amp;Y28,2))</f>
        <v>-16184</v>
      </c>
      <c r="AB28" s="5" t="s">
        <v>47</v>
      </c>
      <c r="AC28" s="2" t="s">
        <v>48</v>
      </c>
      <c r="AD28" s="2"/>
      <c r="AE28" s="2"/>
      <c r="AF28" s="2"/>
      <c r="AG28">
        <f>AG26+AG27</f>
        <v>49352</v>
      </c>
      <c r="AH28" s="3" t="s">
        <v>47</v>
      </c>
    </row>
    <row r="29" spans="2:35" x14ac:dyDescent="0.3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2:35" x14ac:dyDescent="0.35">
      <c r="D30" s="2"/>
      <c r="E30" s="2"/>
      <c r="F30" s="2"/>
      <c r="G30" s="2" t="s">
        <v>51</v>
      </c>
      <c r="H30" s="2">
        <f>IF(F25=1,1,0)</f>
        <v>0</v>
      </c>
      <c r="I30" s="2"/>
      <c r="J30" s="2" t="s">
        <v>52</v>
      </c>
      <c r="K30" s="2">
        <f>1-MOD(SUM(Q28:T28)+SUM(V28:Y28),2)</f>
        <v>0</v>
      </c>
      <c r="L30" s="2"/>
      <c r="M30" s="2" t="s">
        <v>53</v>
      </c>
      <c r="N30" s="2">
        <f>IF(T25=1,1,0)</f>
        <v>0</v>
      </c>
      <c r="O30" s="2"/>
      <c r="P30" s="2" t="s">
        <v>54</v>
      </c>
      <c r="Q30" s="2">
        <f>IF(SUM(G28:Y28)=0,1,0)</f>
        <v>0</v>
      </c>
      <c r="R30" s="2"/>
      <c r="S30" s="2" t="s">
        <v>55</v>
      </c>
      <c r="T30" s="2">
        <f>G28</f>
        <v>1</v>
      </c>
      <c r="U30" s="2"/>
      <c r="V30" s="2" t="s">
        <v>56</v>
      </c>
      <c r="W30" s="2">
        <f>IF(G25=F25,0,1)</f>
        <v>1</v>
      </c>
      <c r="X30" s="2"/>
      <c r="Y30" s="2"/>
      <c r="Z30" s="2"/>
      <c r="AA30" s="2"/>
      <c r="AB30" s="2"/>
      <c r="AC30" s="2"/>
      <c r="AD30" s="2"/>
      <c r="AE30" s="2"/>
      <c r="AF30" s="2"/>
    </row>
    <row r="33" spans="4:35" ht="58" x14ac:dyDescent="0.35">
      <c r="D33" s="2"/>
      <c r="E33" s="2"/>
      <c r="F33" s="7">
        <f t="shared" ref="F33" si="28">IF(SUM(G33:G35)&gt;1,1,"")</f>
        <v>1</v>
      </c>
      <c r="G33" s="7">
        <f t="shared" ref="G33" si="29">IF(SUM(H33:H35)&gt;1,1,"")</f>
        <v>1</v>
      </c>
      <c r="H33" s="7" t="str">
        <f t="shared" ref="H33" si="30">IF(SUM(I33:I35)&gt;1,1,"")</f>
        <v/>
      </c>
      <c r="I33" s="7">
        <f t="shared" ref="I33" si="31">IF(SUM(J33:J35)&gt;1,1,"")</f>
        <v>1</v>
      </c>
      <c r="J33" s="7">
        <f>IF(SUM(L33:L35)&gt;1,1,"")</f>
        <v>1</v>
      </c>
      <c r="K33" s="7"/>
      <c r="L33" s="7">
        <f t="shared" ref="L33" si="32">IF(SUM(M33:M35)&gt;1,1,"")</f>
        <v>1</v>
      </c>
      <c r="M33" s="7">
        <f t="shared" ref="M33" si="33">IF(SUM(N33:N35)&gt;1,1,"")</f>
        <v>1</v>
      </c>
      <c r="N33" s="7">
        <f t="shared" ref="N33" si="34">IF(SUM(O33:O35)&gt;1,1,"")</f>
        <v>1</v>
      </c>
      <c r="O33" s="7" t="str">
        <f>IF(SUM(Q33:Q35)&gt;1,1,"")</f>
        <v/>
      </c>
      <c r="P33" s="7"/>
      <c r="Q33" s="7" t="str">
        <f t="shared" ref="Q33" si="35">IF(SUM(R33:R35)&gt;1,1,"")</f>
        <v/>
      </c>
      <c r="R33" s="7" t="str">
        <f t="shared" ref="R33" si="36">IF(SUM(S33:S35)&gt;1,1,"")</f>
        <v/>
      </c>
      <c r="S33" s="7">
        <f t="shared" ref="S33" si="37">IF(SUM(T33:T35)&gt;1,1,"")</f>
        <v>1</v>
      </c>
      <c r="T33" s="7" t="str">
        <f>IF(SUM(V33:V35)&gt;1,1,"")</f>
        <v/>
      </c>
      <c r="U33" s="7"/>
      <c r="V33" s="7" t="str">
        <f t="shared" ref="V33" si="38">IF(SUM(W33:W35)&gt;1,1,"")</f>
        <v/>
      </c>
      <c r="W33" s="7" t="str">
        <f t="shared" ref="W33" si="39">IF(SUM(X33:X35)&gt;1,1,"")</f>
        <v/>
      </c>
      <c r="X33" s="7" t="str">
        <f>IF(SUM(Y33:Y35)&gt;1,1,"")</f>
        <v/>
      </c>
      <c r="Y33" s="7"/>
      <c r="Z33" s="2"/>
      <c r="AA33" s="2"/>
      <c r="AB33" s="2"/>
      <c r="AC33" s="2"/>
      <c r="AD33" s="2"/>
      <c r="AE33" s="2"/>
      <c r="AF33" s="2"/>
      <c r="AI33" s="8" t="str">
        <f>IF(AND(AG34&gt;0,AG35&gt;0),IF(AG36&lt;2^15,"Результат корректный","При сложении положительных чисел получен отрицательный результат  ПЕРЕПОЛНЕНИЕ"),IF(AND(AG34&lt;0,AG35&lt;0),IF(ABS(AG34)+ABS(AG35)&lt;2^15,"Результат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ПЕРЕПОЛНЕНИЕ"),IF(AND(AG34&gt;0,AG35&lt;0),IF(ABS(AG34)&gt;ABS(AG35),"Результат корректный. Перенос из старшего разряда не учитывается","Результат корректный"),IF(ABS(AG35)&gt;ABS(AG34),"Результат корректный. Перенос из старшего разряда не учитывается","Результат корректный"))))</f>
        <v>Результат корректный. Перенос из старшего разряда не учитывается</v>
      </c>
    </row>
    <row r="34" spans="4:35" ht="16.5" x14ac:dyDescent="0.45">
      <c r="D34" s="2"/>
      <c r="E34" s="2" t="s">
        <v>44</v>
      </c>
      <c r="F34" s="2"/>
      <c r="G34" s="2">
        <f t="shared" ref="G34:X34" si="40">G5</f>
        <v>0</v>
      </c>
      <c r="H34" s="2">
        <f t="shared" si="40"/>
        <v>1</v>
      </c>
      <c r="I34" s="2">
        <f t="shared" si="40"/>
        <v>0</v>
      </c>
      <c r="J34" s="2">
        <f t="shared" si="40"/>
        <v>0</v>
      </c>
      <c r="K34" s="2" t="str">
        <f t="shared" si="40"/>
        <v>.</v>
      </c>
      <c r="L34" s="2">
        <f t="shared" si="40"/>
        <v>1</v>
      </c>
      <c r="M34" s="2">
        <f t="shared" si="40"/>
        <v>0</v>
      </c>
      <c r="N34" s="2">
        <f t="shared" si="40"/>
        <v>1</v>
      </c>
      <c r="O34" s="2">
        <f t="shared" si="40"/>
        <v>1</v>
      </c>
      <c r="P34" s="2" t="str">
        <f t="shared" si="40"/>
        <v>.</v>
      </c>
      <c r="Q34" s="2">
        <f t="shared" si="40"/>
        <v>0</v>
      </c>
      <c r="R34" s="2">
        <f t="shared" si="40"/>
        <v>0</v>
      </c>
      <c r="S34" s="2">
        <f t="shared" si="40"/>
        <v>0</v>
      </c>
      <c r="T34" s="2">
        <f t="shared" si="40"/>
        <v>1</v>
      </c>
      <c r="U34" s="2" t="str">
        <f t="shared" si="40"/>
        <v>.</v>
      </c>
      <c r="V34" s="2">
        <f t="shared" si="40"/>
        <v>0</v>
      </c>
      <c r="W34" s="2">
        <f t="shared" si="40"/>
        <v>0</v>
      </c>
      <c r="X34" s="2">
        <f t="shared" si="40"/>
        <v>0</v>
      </c>
      <c r="Y34" s="2">
        <f>Y5</f>
        <v>1</v>
      </c>
      <c r="Z34" s="2"/>
      <c r="AA34" s="2"/>
      <c r="AB34" s="2"/>
      <c r="AC34" s="2"/>
      <c r="AD34" s="2"/>
      <c r="AE34" s="2" t="s">
        <v>50</v>
      </c>
      <c r="AF34" s="2"/>
      <c r="AG34" s="2">
        <f>C5</f>
        <v>19217</v>
      </c>
    </row>
    <row r="35" spans="4:35" ht="16.5" x14ac:dyDescent="0.45">
      <c r="D35" s="2" t="s">
        <v>45</v>
      </c>
      <c r="E35" s="6" t="s">
        <v>59</v>
      </c>
      <c r="F35" s="6"/>
      <c r="G35" s="6">
        <f t="shared" ref="G35:X35" si="41">G10</f>
        <v>1</v>
      </c>
      <c r="H35" s="6">
        <f t="shared" si="41"/>
        <v>1</v>
      </c>
      <c r="I35" s="6">
        <f t="shared" si="41"/>
        <v>0</v>
      </c>
      <c r="J35" s="6">
        <f t="shared" si="41"/>
        <v>1</v>
      </c>
      <c r="K35" s="6" t="str">
        <f t="shared" si="41"/>
        <v>.</v>
      </c>
      <c r="L35" s="6">
        <f t="shared" si="41"/>
        <v>0</v>
      </c>
      <c r="M35" s="6">
        <f t="shared" si="41"/>
        <v>1</v>
      </c>
      <c r="N35" s="6">
        <f t="shared" si="41"/>
        <v>0</v>
      </c>
      <c r="O35" s="6">
        <f t="shared" si="41"/>
        <v>1</v>
      </c>
      <c r="P35" s="6" t="str">
        <f t="shared" si="41"/>
        <v>.</v>
      </c>
      <c r="Q35" s="6">
        <f t="shared" si="41"/>
        <v>0</v>
      </c>
      <c r="R35" s="6">
        <f t="shared" si="41"/>
        <v>1</v>
      </c>
      <c r="S35" s="6">
        <f t="shared" si="41"/>
        <v>0</v>
      </c>
      <c r="T35" s="6">
        <f t="shared" si="41"/>
        <v>1</v>
      </c>
      <c r="U35" s="6" t="str">
        <f t="shared" si="41"/>
        <v>.</v>
      </c>
      <c r="V35" s="6">
        <f t="shared" si="41"/>
        <v>1</v>
      </c>
      <c r="W35" s="6">
        <f t="shared" si="41"/>
        <v>0</v>
      </c>
      <c r="X35" s="6">
        <f t="shared" si="41"/>
        <v>1</v>
      </c>
      <c r="Y35" s="6">
        <f>Y10</f>
        <v>0</v>
      </c>
      <c r="Z35" s="2"/>
      <c r="AA35" s="2"/>
      <c r="AB35" s="2"/>
      <c r="AC35" s="2"/>
      <c r="AD35" s="2" t="s">
        <v>45</v>
      </c>
      <c r="AE35" s="6" t="s">
        <v>60</v>
      </c>
      <c r="AF35" s="6"/>
      <c r="AG35" s="6">
        <f>C10</f>
        <v>-10918</v>
      </c>
    </row>
    <row r="36" spans="4:35" ht="16.5" x14ac:dyDescent="0.45">
      <c r="D36" s="2"/>
      <c r="E36" s="2"/>
      <c r="F36" s="2"/>
      <c r="G36" s="2">
        <f t="shared" ref="G36" si="42">MOD(SUM(G33:G35),2)</f>
        <v>0</v>
      </c>
      <c r="H36" s="2">
        <f t="shared" ref="H36:J36" si="43">MOD(SUM(H33:H35),2)</f>
        <v>0</v>
      </c>
      <c r="I36" s="2">
        <f t="shared" si="43"/>
        <v>1</v>
      </c>
      <c r="J36" s="2">
        <f t="shared" si="43"/>
        <v>0</v>
      </c>
      <c r="K36" s="2" t="s">
        <v>25</v>
      </c>
      <c r="L36" s="2">
        <f t="shared" ref="L36:O36" si="44">MOD(SUM(L33:L35),2)</f>
        <v>0</v>
      </c>
      <c r="M36" s="2">
        <f t="shared" si="44"/>
        <v>0</v>
      </c>
      <c r="N36" s="2">
        <f t="shared" si="44"/>
        <v>0</v>
      </c>
      <c r="O36" s="2">
        <f t="shared" si="44"/>
        <v>0</v>
      </c>
      <c r="P36" s="2" t="s">
        <v>25</v>
      </c>
      <c r="Q36" s="2">
        <f t="shared" ref="Q36:T36" si="45">MOD(SUM(Q33:Q35),2)</f>
        <v>0</v>
      </c>
      <c r="R36" s="2">
        <f t="shared" si="45"/>
        <v>1</v>
      </c>
      <c r="S36" s="2">
        <f t="shared" si="45"/>
        <v>1</v>
      </c>
      <c r="T36" s="2">
        <f t="shared" si="45"/>
        <v>0</v>
      </c>
      <c r="U36" s="2" t="s">
        <v>25</v>
      </c>
      <c r="V36" s="2">
        <f t="shared" ref="V36:X36" si="46">MOD(SUM(V33:V35),2)</f>
        <v>1</v>
      </c>
      <c r="W36" s="2">
        <f t="shared" si="46"/>
        <v>0</v>
      </c>
      <c r="X36" s="2">
        <f t="shared" si="46"/>
        <v>1</v>
      </c>
      <c r="Y36" s="2">
        <f>MOD(SUM(Y33:Y35),2)</f>
        <v>1</v>
      </c>
      <c r="Z36" s="4" t="s">
        <v>46</v>
      </c>
      <c r="AA36" s="2">
        <f>IF(G36=1,_xlfn.DECIMAL(G36&amp;H36&amp;I36&amp;J36&amp;L36&amp;M36&amp;N36&amp;O36&amp;Q36&amp;R36&amp;S36&amp;T36&amp;V36&amp;W36&amp;X36&amp;Y36,2)-65536,_xlfn.DECIMAL(G36&amp;H36&amp;I36&amp;J36&amp;L36&amp;M36&amp;N36&amp;O36&amp;Q36&amp;R36&amp;S36&amp;T36&amp;V36&amp;W36&amp;X36&amp;Y36,2))</f>
        <v>8299</v>
      </c>
      <c r="AB36" s="5" t="s">
        <v>47</v>
      </c>
      <c r="AC36" s="2" t="s">
        <v>48</v>
      </c>
      <c r="AD36" s="2"/>
      <c r="AE36" s="2"/>
      <c r="AF36" s="2"/>
      <c r="AG36">
        <f>AG34+AG35</f>
        <v>8299</v>
      </c>
      <c r="AH36" s="3" t="s">
        <v>47</v>
      </c>
    </row>
    <row r="37" spans="4:35" x14ac:dyDescent="0.35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4:35" x14ac:dyDescent="0.35">
      <c r="D38" s="2"/>
      <c r="E38" s="2"/>
      <c r="F38" s="2"/>
      <c r="G38" s="2" t="s">
        <v>51</v>
      </c>
      <c r="H38" s="2">
        <f>IF(F33=1,1,0)</f>
        <v>1</v>
      </c>
      <c r="I38" s="2"/>
      <c r="J38" s="2" t="s">
        <v>52</v>
      </c>
      <c r="K38" s="2">
        <f>1-MOD(SUM(Q36:T36)+SUM(V36:Y36),2)</f>
        <v>0</v>
      </c>
      <c r="L38" s="2"/>
      <c r="M38" s="2" t="s">
        <v>53</v>
      </c>
      <c r="N38" s="2">
        <f>IF(T33=1,1,0)</f>
        <v>0</v>
      </c>
      <c r="O38" s="2"/>
      <c r="P38" s="2" t="s">
        <v>54</v>
      </c>
      <c r="Q38" s="2">
        <f>IF(SUM(G36:Y36)=0,1,0)</f>
        <v>0</v>
      </c>
      <c r="R38" s="2"/>
      <c r="S38" s="2" t="s">
        <v>55</v>
      </c>
      <c r="T38" s="2">
        <f>G36</f>
        <v>0</v>
      </c>
      <c r="U38" s="2"/>
      <c r="V38" s="2" t="s">
        <v>56</v>
      </c>
      <c r="W38" s="2">
        <f>IF(G33=F33,0,1)</f>
        <v>0</v>
      </c>
      <c r="X38" s="2"/>
      <c r="Y38" s="2"/>
      <c r="Z38" s="2"/>
      <c r="AA38" s="2"/>
      <c r="AB38" s="2"/>
      <c r="AC38" s="2"/>
      <c r="AD38" s="2"/>
      <c r="AE38" s="2"/>
      <c r="AF38" s="2"/>
    </row>
    <row r="41" spans="4:35" ht="58" x14ac:dyDescent="0.35">
      <c r="D41" s="2"/>
      <c r="E41" s="2"/>
      <c r="F41" s="7">
        <f t="shared" ref="F41" si="47">IF(SUM(G41:G43)&gt;1,1,"")</f>
        <v>1</v>
      </c>
      <c r="G41" s="7">
        <f t="shared" ref="G41" si="48">IF(SUM(H41:H43)&gt;1,1,"")</f>
        <v>1</v>
      </c>
      <c r="H41" s="7">
        <f t="shared" ref="H41" si="49">IF(SUM(I41:I43)&gt;1,1,"")</f>
        <v>1</v>
      </c>
      <c r="I41" s="7">
        <f t="shared" ref="I41" si="50">IF(SUM(J41:J43)&gt;1,1,"")</f>
        <v>1</v>
      </c>
      <c r="J41" s="7" t="str">
        <f>IF(SUM(L41:L43)&gt;1,1,"")</f>
        <v/>
      </c>
      <c r="K41" s="7"/>
      <c r="L41" s="7">
        <f t="shared" ref="L41" si="51">IF(SUM(M41:M43)&gt;1,1,"")</f>
        <v>1</v>
      </c>
      <c r="M41" s="7" t="str">
        <f t="shared" ref="M41" si="52">IF(SUM(N41:N43)&gt;1,1,"")</f>
        <v/>
      </c>
      <c r="N41" s="7">
        <f t="shared" ref="N41" si="53">IF(SUM(O41:O43)&gt;1,1,"")</f>
        <v>1</v>
      </c>
      <c r="O41" s="7">
        <f>IF(SUM(Q41:Q43)&gt;1,1,"")</f>
        <v>1</v>
      </c>
      <c r="P41" s="7"/>
      <c r="Q41" s="7">
        <f t="shared" ref="Q41" si="54">IF(SUM(R41:R43)&gt;1,1,"")</f>
        <v>1</v>
      </c>
      <c r="R41" s="7">
        <f t="shared" ref="R41" si="55">IF(SUM(S41:S43)&gt;1,1,"")</f>
        <v>1</v>
      </c>
      <c r="S41" s="7">
        <f t="shared" ref="S41" si="56">IF(SUM(T41:T43)&gt;1,1,"")</f>
        <v>1</v>
      </c>
      <c r="T41" s="7">
        <f>IF(SUM(V41:V43)&gt;1,1,"")</f>
        <v>1</v>
      </c>
      <c r="U41" s="7"/>
      <c r="V41" s="7">
        <f t="shared" ref="V41" si="57">IF(SUM(W41:W43)&gt;1,1,"")</f>
        <v>1</v>
      </c>
      <c r="W41" s="7">
        <f t="shared" ref="W41" si="58">IF(SUM(X41:X43)&gt;1,1,"")</f>
        <v>1</v>
      </c>
      <c r="X41" s="7" t="str">
        <f>IF(SUM(Y41:Y43)&gt;1,1,"")</f>
        <v/>
      </c>
      <c r="Y41" s="7"/>
      <c r="Z41" s="2"/>
      <c r="AA41" s="2"/>
      <c r="AB41" s="2"/>
      <c r="AC41" s="2"/>
      <c r="AD41" s="2"/>
      <c r="AE41" s="2"/>
      <c r="AF41" s="2"/>
      <c r="AI41" s="8" t="str">
        <f>IF(AND(AG42&gt;0,AG43&gt;0),IF(AG44&lt;2^15,"Результат корректный","При сложении положительных чисел получен отрицательный результат  ПЕРЕПОЛНЕНИЕ"),IF(AND(AG42&lt;0,AG43&lt;0),IF(ABS(AG42)+ABS(AG43)&lt;2^15,"Результат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ПЕРЕПОЛНЕНИЕ"),IF(AND(AG42&gt;0,AG43&lt;0),IF(ABS(AG42)&gt;ABS(AG43),"Результат корректный. Перенос из старшего разряда не учитывается","Результат корректный"),IF(ABS(AG43)&gt;ABS(AG42),"Результат корректный. Перенос из старшего разряда не учитывается","Результат корректный"))))</f>
        <v>Результат корректный. Перенос из старшего разряда не учитывается</v>
      </c>
    </row>
    <row r="42" spans="4:35" ht="16.5" x14ac:dyDescent="0.45">
      <c r="D42" s="2"/>
      <c r="E42" s="2" t="s">
        <v>59</v>
      </c>
      <c r="F42" s="2"/>
      <c r="G42" s="2">
        <f t="shared" ref="G42:X42" si="59">G10</f>
        <v>1</v>
      </c>
      <c r="H42" s="2">
        <f t="shared" si="59"/>
        <v>1</v>
      </c>
      <c r="I42" s="2">
        <f t="shared" si="59"/>
        <v>0</v>
      </c>
      <c r="J42" s="2">
        <f t="shared" si="59"/>
        <v>1</v>
      </c>
      <c r="K42" s="2" t="str">
        <f t="shared" si="59"/>
        <v>.</v>
      </c>
      <c r="L42" s="2">
        <f t="shared" si="59"/>
        <v>0</v>
      </c>
      <c r="M42" s="2">
        <f t="shared" si="59"/>
        <v>1</v>
      </c>
      <c r="N42" s="2">
        <f t="shared" si="59"/>
        <v>0</v>
      </c>
      <c r="O42" s="2">
        <f t="shared" si="59"/>
        <v>1</v>
      </c>
      <c r="P42" s="2" t="str">
        <f t="shared" si="59"/>
        <v>.</v>
      </c>
      <c r="Q42" s="2">
        <f t="shared" si="59"/>
        <v>0</v>
      </c>
      <c r="R42" s="2">
        <f t="shared" si="59"/>
        <v>1</v>
      </c>
      <c r="S42" s="2">
        <f t="shared" si="59"/>
        <v>0</v>
      </c>
      <c r="T42" s="2">
        <f t="shared" si="59"/>
        <v>1</v>
      </c>
      <c r="U42" s="2" t="str">
        <f t="shared" si="59"/>
        <v>.</v>
      </c>
      <c r="V42" s="2">
        <f t="shared" si="59"/>
        <v>1</v>
      </c>
      <c r="W42" s="2">
        <f t="shared" si="59"/>
        <v>0</v>
      </c>
      <c r="X42" s="2">
        <f t="shared" si="59"/>
        <v>1</v>
      </c>
      <c r="Y42" s="2">
        <f>Y10</f>
        <v>0</v>
      </c>
      <c r="Z42" s="2"/>
      <c r="AA42" s="2"/>
      <c r="AB42" s="2"/>
      <c r="AC42" s="2"/>
      <c r="AD42" s="2"/>
      <c r="AE42" s="2" t="s">
        <v>60</v>
      </c>
      <c r="AF42" s="2"/>
      <c r="AG42" s="2">
        <f>C10</f>
        <v>-10918</v>
      </c>
    </row>
    <row r="43" spans="4:35" ht="16.5" x14ac:dyDescent="0.45">
      <c r="D43" s="2" t="s">
        <v>45</v>
      </c>
      <c r="E43" s="6" t="s">
        <v>61</v>
      </c>
      <c r="F43" s="6"/>
      <c r="G43" s="6">
        <f t="shared" ref="G43:X43" si="60">G11</f>
        <v>1</v>
      </c>
      <c r="H43" s="6">
        <f t="shared" si="60"/>
        <v>0</v>
      </c>
      <c r="I43" s="6">
        <f t="shared" si="60"/>
        <v>1</v>
      </c>
      <c r="J43" s="6">
        <f t="shared" si="60"/>
        <v>1</v>
      </c>
      <c r="K43" s="6" t="str">
        <f t="shared" si="60"/>
        <v>.</v>
      </c>
      <c r="L43" s="6">
        <f t="shared" si="60"/>
        <v>0</v>
      </c>
      <c r="M43" s="6">
        <f t="shared" si="60"/>
        <v>1</v>
      </c>
      <c r="N43" s="6">
        <f t="shared" si="60"/>
        <v>0</v>
      </c>
      <c r="O43" s="6">
        <f t="shared" si="60"/>
        <v>0</v>
      </c>
      <c r="P43" s="6" t="str">
        <f t="shared" si="60"/>
        <v>.</v>
      </c>
      <c r="Q43" s="6">
        <f t="shared" si="60"/>
        <v>1</v>
      </c>
      <c r="R43" s="6">
        <f t="shared" si="60"/>
        <v>1</v>
      </c>
      <c r="S43" s="6">
        <f t="shared" si="60"/>
        <v>1</v>
      </c>
      <c r="T43" s="6">
        <f t="shared" si="60"/>
        <v>0</v>
      </c>
      <c r="U43" s="6" t="str">
        <f t="shared" si="60"/>
        <v>.</v>
      </c>
      <c r="V43" s="6">
        <f t="shared" si="60"/>
        <v>1</v>
      </c>
      <c r="W43" s="6">
        <f t="shared" si="60"/>
        <v>1</v>
      </c>
      <c r="X43" s="6">
        <f t="shared" si="60"/>
        <v>1</v>
      </c>
      <c r="Y43" s="6">
        <f>Y11</f>
        <v>1</v>
      </c>
      <c r="Z43" s="2"/>
      <c r="AA43" s="2"/>
      <c r="AB43" s="2"/>
      <c r="AC43" s="2"/>
      <c r="AD43" s="2" t="s">
        <v>45</v>
      </c>
      <c r="AE43" s="6" t="s">
        <v>62</v>
      </c>
      <c r="AF43" s="6"/>
      <c r="AG43" s="6">
        <f>C11</f>
        <v>-19217</v>
      </c>
    </row>
    <row r="44" spans="4:35" ht="16.5" x14ac:dyDescent="0.45">
      <c r="D44" s="2"/>
      <c r="E44" s="2"/>
      <c r="F44" s="2"/>
      <c r="G44" s="2">
        <f t="shared" ref="G44" si="61">MOD(SUM(G41:G43),2)</f>
        <v>1</v>
      </c>
      <c r="H44" s="2">
        <f t="shared" ref="H44:J44" si="62">MOD(SUM(H41:H43),2)</f>
        <v>0</v>
      </c>
      <c r="I44" s="2">
        <f t="shared" si="62"/>
        <v>0</v>
      </c>
      <c r="J44" s="2">
        <f t="shared" si="62"/>
        <v>0</v>
      </c>
      <c r="K44" s="2" t="s">
        <v>25</v>
      </c>
      <c r="L44" s="2">
        <f t="shared" ref="L44:O44" si="63">MOD(SUM(L41:L43),2)</f>
        <v>1</v>
      </c>
      <c r="M44" s="2">
        <f t="shared" si="63"/>
        <v>0</v>
      </c>
      <c r="N44" s="2">
        <f t="shared" si="63"/>
        <v>1</v>
      </c>
      <c r="O44" s="2">
        <f t="shared" si="63"/>
        <v>0</v>
      </c>
      <c r="P44" s="2" t="s">
        <v>25</v>
      </c>
      <c r="Q44" s="2">
        <f t="shared" ref="Q44:T44" si="64">MOD(SUM(Q41:Q43),2)</f>
        <v>0</v>
      </c>
      <c r="R44" s="2">
        <f t="shared" si="64"/>
        <v>1</v>
      </c>
      <c r="S44" s="2">
        <f t="shared" si="64"/>
        <v>0</v>
      </c>
      <c r="T44" s="2">
        <f t="shared" si="64"/>
        <v>0</v>
      </c>
      <c r="U44" s="2" t="s">
        <v>25</v>
      </c>
      <c r="V44" s="2">
        <f t="shared" ref="V44:X44" si="65">MOD(SUM(V41:V43),2)</f>
        <v>1</v>
      </c>
      <c r="W44" s="2">
        <f t="shared" si="65"/>
        <v>0</v>
      </c>
      <c r="X44" s="2">
        <f t="shared" si="65"/>
        <v>0</v>
      </c>
      <c r="Y44" s="2">
        <f>MOD(SUM(Y41:Y43),2)</f>
        <v>1</v>
      </c>
      <c r="Z44" s="4" t="s">
        <v>46</v>
      </c>
      <c r="AA44" s="2">
        <f>IF(G44=1,_xlfn.DECIMAL(G44&amp;H44&amp;I44&amp;J44&amp;L44&amp;M44&amp;N44&amp;O44&amp;Q44&amp;R44&amp;S44&amp;T44&amp;V44&amp;W44&amp;X44&amp;Y44,2)-65536,_xlfn.DECIMAL(G44&amp;H44&amp;I44&amp;J44&amp;L44&amp;M44&amp;N44&amp;O44&amp;Q44&amp;R44&amp;S44&amp;T44&amp;V44&amp;W44&amp;X44&amp;Y44,2))</f>
        <v>-30135</v>
      </c>
      <c r="AB44" s="5" t="s">
        <v>47</v>
      </c>
      <c r="AC44" s="2" t="s">
        <v>48</v>
      </c>
      <c r="AD44" s="2"/>
      <c r="AE44" s="2"/>
      <c r="AF44" s="2"/>
      <c r="AG44">
        <f>AG42+AG43</f>
        <v>-30135</v>
      </c>
      <c r="AH44" s="3" t="s">
        <v>47</v>
      </c>
    </row>
    <row r="45" spans="4:35" x14ac:dyDescent="0.3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4:35" x14ac:dyDescent="0.35">
      <c r="D46" s="2"/>
      <c r="E46" s="2"/>
      <c r="F46" s="2"/>
      <c r="G46" s="2" t="s">
        <v>51</v>
      </c>
      <c r="H46" s="2">
        <f>IF(F41=1,1,0)</f>
        <v>1</v>
      </c>
      <c r="I46" s="2"/>
      <c r="J46" s="2" t="s">
        <v>52</v>
      </c>
      <c r="K46" s="2">
        <f>1-MOD(SUM(Q44:T44)+SUM(V44:Y44),2)</f>
        <v>0</v>
      </c>
      <c r="L46" s="2"/>
      <c r="M46" s="2" t="s">
        <v>53</v>
      </c>
      <c r="N46" s="2">
        <f>IF(T41=1,1,0)</f>
        <v>1</v>
      </c>
      <c r="O46" s="2"/>
      <c r="P46" s="2" t="s">
        <v>54</v>
      </c>
      <c r="Q46" s="2">
        <f>IF(SUM(G44:Y44)=0,1,0)</f>
        <v>0</v>
      </c>
      <c r="R46" s="2"/>
      <c r="S46" s="2" t="s">
        <v>55</v>
      </c>
      <c r="T46" s="2">
        <f>G44</f>
        <v>1</v>
      </c>
      <c r="U46" s="2"/>
      <c r="V46" s="2" t="s">
        <v>56</v>
      </c>
      <c r="W46" s="2">
        <f>IF(G41=F41,0,1)</f>
        <v>0</v>
      </c>
      <c r="X46" s="2"/>
      <c r="Y46" s="2"/>
      <c r="Z46" s="2"/>
      <c r="AA46" s="2"/>
      <c r="AB46" s="2"/>
      <c r="AC46" s="2"/>
      <c r="AD46" s="2"/>
      <c r="AE46" s="2"/>
      <c r="AF46" s="2"/>
    </row>
    <row r="49" spans="4:35" ht="87" x14ac:dyDescent="0.35">
      <c r="D49" s="2"/>
      <c r="E49" s="2"/>
      <c r="F49" s="7">
        <f t="shared" ref="F49" si="66">IF(SUM(G49:G51)&gt;1,1,"")</f>
        <v>1</v>
      </c>
      <c r="G49" s="7" t="str">
        <f t="shared" ref="G49" si="67">IF(SUM(H49:H51)&gt;1,1,"")</f>
        <v/>
      </c>
      <c r="H49" s="7" t="str">
        <f t="shared" ref="H49" si="68">IF(SUM(I49:I51)&gt;1,1,"")</f>
        <v/>
      </c>
      <c r="I49" s="7" t="str">
        <f t="shared" ref="I49" si="69">IF(SUM(J49:J51)&gt;1,1,"")</f>
        <v/>
      </c>
      <c r="J49" s="7" t="str">
        <f>IF(SUM(L49:L51)&gt;1,1,"")</f>
        <v/>
      </c>
      <c r="K49" s="7"/>
      <c r="L49" s="7" t="str">
        <f t="shared" ref="L49" si="70">IF(SUM(M49:M51)&gt;1,1,"")</f>
        <v/>
      </c>
      <c r="M49" s="7" t="str">
        <f t="shared" ref="M49" si="71">IF(SUM(N49:N51)&gt;1,1,"")</f>
        <v/>
      </c>
      <c r="N49" s="7" t="str">
        <f t="shared" ref="N49" si="72">IF(SUM(O49:O51)&gt;1,1,"")</f>
        <v/>
      </c>
      <c r="O49" s="7">
        <f>IF(SUM(Q49:Q51)&gt;1,1,"")</f>
        <v>1</v>
      </c>
      <c r="P49" s="7"/>
      <c r="Q49" s="7">
        <f t="shared" ref="Q49" si="73">IF(SUM(R49:R51)&gt;1,1,"")</f>
        <v>1</v>
      </c>
      <c r="R49" s="7" t="str">
        <f t="shared" ref="R49" si="74">IF(SUM(S49:S51)&gt;1,1,"")</f>
        <v/>
      </c>
      <c r="S49" s="7" t="str">
        <f t="shared" ref="S49" si="75">IF(SUM(T49:T51)&gt;1,1,"")</f>
        <v/>
      </c>
      <c r="T49" s="7">
        <f>IF(SUM(V49:V51)&gt;1,1,"")</f>
        <v>1</v>
      </c>
      <c r="U49" s="7"/>
      <c r="V49" s="7">
        <f t="shared" ref="V49" si="76">IF(SUM(W49:W51)&gt;1,1,"")</f>
        <v>1</v>
      </c>
      <c r="W49" s="7">
        <f t="shared" ref="W49" si="77">IF(SUM(X49:X51)&gt;1,1,"")</f>
        <v>1</v>
      </c>
      <c r="X49" s="7">
        <f>IF(SUM(Y49:Y51)&gt;1,1,"")</f>
        <v>1</v>
      </c>
      <c r="Y49" s="7"/>
      <c r="Z49" s="2"/>
      <c r="AA49" s="2"/>
      <c r="AB49" s="2"/>
      <c r="AC49" s="2"/>
      <c r="AD49" s="2"/>
      <c r="AE49" s="2"/>
      <c r="AF49" s="2"/>
      <c r="AI49" s="8" t="str">
        <f>IF(AND(AG50&gt;0,AG51&gt;0),IF(AG52&lt;2^15,"Результат корректный","При сложении положительных чисел получен отрицательный результат  ПЕРЕПОЛНЕНИЕ"),IF(AND(AG50&lt;0,AG51&lt;0),IF(ABS(AG50)+ABS(AG51)&lt;2^15,"Результат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ПЕРЕПОЛНЕНИЕ"),IF(AND(AG50&gt;0,AG51&lt;0),IF(ABS(AG50)&gt;ABS(AG51),"Результат корректный. Перенос из старшего разряда не учитывается","Результат корректный"),IF(ABS(AG51)&gt;ABS(AG50),"Результат корректный. Перенос из старшего разряда не учитывается","Результат корректный"))))</f>
        <v>При сложении отрицательных чисел получен положительный результат  ПЕРЕПОЛНЕНИЕ</v>
      </c>
    </row>
    <row r="50" spans="4:35" ht="16.5" x14ac:dyDescent="0.45">
      <c r="D50" s="2"/>
      <c r="E50" s="2" t="s">
        <v>61</v>
      </c>
      <c r="F50" s="2"/>
      <c r="G50" s="2">
        <f t="shared" ref="G50:X50" si="78">G11</f>
        <v>1</v>
      </c>
      <c r="H50" s="2">
        <f t="shared" si="78"/>
        <v>0</v>
      </c>
      <c r="I50" s="2">
        <f t="shared" si="78"/>
        <v>1</v>
      </c>
      <c r="J50" s="2">
        <f t="shared" si="78"/>
        <v>1</v>
      </c>
      <c r="K50" s="2" t="str">
        <f t="shared" si="78"/>
        <v>.</v>
      </c>
      <c r="L50" s="2">
        <f t="shared" si="78"/>
        <v>0</v>
      </c>
      <c r="M50" s="2">
        <f t="shared" si="78"/>
        <v>1</v>
      </c>
      <c r="N50" s="2">
        <f t="shared" si="78"/>
        <v>0</v>
      </c>
      <c r="O50" s="2">
        <f t="shared" si="78"/>
        <v>0</v>
      </c>
      <c r="P50" s="2" t="str">
        <f t="shared" si="78"/>
        <v>.</v>
      </c>
      <c r="Q50" s="2">
        <f t="shared" si="78"/>
        <v>1</v>
      </c>
      <c r="R50" s="2">
        <f t="shared" si="78"/>
        <v>1</v>
      </c>
      <c r="S50" s="2">
        <f t="shared" si="78"/>
        <v>1</v>
      </c>
      <c r="T50" s="2">
        <f t="shared" si="78"/>
        <v>0</v>
      </c>
      <c r="U50" s="2" t="str">
        <f t="shared" si="78"/>
        <v>.</v>
      </c>
      <c r="V50" s="2">
        <f t="shared" si="78"/>
        <v>1</v>
      </c>
      <c r="W50" s="2">
        <f t="shared" si="78"/>
        <v>1</v>
      </c>
      <c r="X50" s="2">
        <f t="shared" si="78"/>
        <v>1</v>
      </c>
      <c r="Y50" s="2">
        <f>Y11</f>
        <v>1</v>
      </c>
      <c r="Z50" s="2"/>
      <c r="AA50" s="2"/>
      <c r="AB50" s="2"/>
      <c r="AC50" s="2"/>
      <c r="AD50" s="2"/>
      <c r="AE50" s="2" t="s">
        <v>62</v>
      </c>
      <c r="AF50" s="2"/>
      <c r="AG50" s="2">
        <f>C11</f>
        <v>-19217</v>
      </c>
    </row>
    <row r="51" spans="4:35" ht="16.5" x14ac:dyDescent="0.45">
      <c r="D51" s="2" t="s">
        <v>45</v>
      </c>
      <c r="E51" s="6" t="s">
        <v>63</v>
      </c>
      <c r="F51" s="6"/>
      <c r="G51" s="6">
        <f t="shared" ref="G51:X51" si="79">G12</f>
        <v>1</v>
      </c>
      <c r="H51" s="6">
        <f t="shared" si="79"/>
        <v>0</v>
      </c>
      <c r="I51" s="6">
        <f t="shared" si="79"/>
        <v>0</v>
      </c>
      <c r="J51" s="6">
        <f t="shared" si="79"/>
        <v>0</v>
      </c>
      <c r="K51" s="6" t="str">
        <f t="shared" si="79"/>
        <v>.</v>
      </c>
      <c r="L51" s="6">
        <f t="shared" si="79"/>
        <v>1</v>
      </c>
      <c r="M51" s="6">
        <f t="shared" si="79"/>
        <v>0</v>
      </c>
      <c r="N51" s="6">
        <f t="shared" si="79"/>
        <v>1</v>
      </c>
      <c r="O51" s="6">
        <f t="shared" si="79"/>
        <v>0</v>
      </c>
      <c r="P51" s="6" t="str">
        <f t="shared" si="79"/>
        <v>.</v>
      </c>
      <c r="Q51" s="6">
        <f t="shared" si="79"/>
        <v>0</v>
      </c>
      <c r="R51" s="6">
        <f t="shared" si="79"/>
        <v>1</v>
      </c>
      <c r="S51" s="6">
        <f t="shared" si="79"/>
        <v>0</v>
      </c>
      <c r="T51" s="6">
        <f t="shared" si="79"/>
        <v>0</v>
      </c>
      <c r="U51" s="6" t="str">
        <f t="shared" si="79"/>
        <v>.</v>
      </c>
      <c r="V51" s="6">
        <f t="shared" si="79"/>
        <v>1</v>
      </c>
      <c r="W51" s="6">
        <f t="shared" si="79"/>
        <v>0</v>
      </c>
      <c r="X51" s="6">
        <f t="shared" si="79"/>
        <v>0</v>
      </c>
      <c r="Y51" s="6">
        <f>Y12</f>
        <v>1</v>
      </c>
      <c r="Z51" s="2"/>
      <c r="AA51" s="2"/>
      <c r="AB51" s="2"/>
      <c r="AC51" s="2"/>
      <c r="AD51" s="2" t="s">
        <v>45</v>
      </c>
      <c r="AE51" s="6" t="s">
        <v>64</v>
      </c>
      <c r="AF51" s="6"/>
      <c r="AG51" s="6">
        <f>C12</f>
        <v>-30135</v>
      </c>
    </row>
    <row r="52" spans="4:35" ht="16.5" x14ac:dyDescent="0.45">
      <c r="D52" s="2"/>
      <c r="E52" s="2"/>
      <c r="F52" s="2"/>
      <c r="G52" s="2">
        <f t="shared" ref="G52" si="80">MOD(SUM(G49:G51),2)</f>
        <v>0</v>
      </c>
      <c r="H52" s="2">
        <f t="shared" ref="H52:J52" si="81">MOD(SUM(H49:H51),2)</f>
        <v>0</v>
      </c>
      <c r="I52" s="2">
        <f t="shared" si="81"/>
        <v>1</v>
      </c>
      <c r="J52" s="2">
        <f t="shared" si="81"/>
        <v>1</v>
      </c>
      <c r="K52" s="2" t="s">
        <v>25</v>
      </c>
      <c r="L52" s="2">
        <f t="shared" ref="L52:O52" si="82">MOD(SUM(L49:L51),2)</f>
        <v>1</v>
      </c>
      <c r="M52" s="2">
        <f t="shared" si="82"/>
        <v>1</v>
      </c>
      <c r="N52" s="2">
        <f t="shared" si="82"/>
        <v>1</v>
      </c>
      <c r="O52" s="2">
        <f t="shared" si="82"/>
        <v>1</v>
      </c>
      <c r="P52" s="2" t="s">
        <v>25</v>
      </c>
      <c r="Q52" s="2">
        <f t="shared" ref="Q52:T52" si="83">MOD(SUM(Q49:Q51),2)</f>
        <v>0</v>
      </c>
      <c r="R52" s="2">
        <f t="shared" si="83"/>
        <v>0</v>
      </c>
      <c r="S52" s="2">
        <f t="shared" si="83"/>
        <v>1</v>
      </c>
      <c r="T52" s="2">
        <f t="shared" si="83"/>
        <v>1</v>
      </c>
      <c r="U52" s="2" t="s">
        <v>25</v>
      </c>
      <c r="V52" s="2">
        <f t="shared" ref="V52:X52" si="84">MOD(SUM(V49:V51),2)</f>
        <v>1</v>
      </c>
      <c r="W52" s="2">
        <f t="shared" si="84"/>
        <v>0</v>
      </c>
      <c r="X52" s="2">
        <f t="shared" si="84"/>
        <v>0</v>
      </c>
      <c r="Y52" s="2">
        <f>MOD(SUM(Y49:Y51),2)</f>
        <v>0</v>
      </c>
      <c r="Z52" s="4" t="s">
        <v>46</v>
      </c>
      <c r="AA52" s="2">
        <f>IF(G52=1,_xlfn.DECIMAL(G52&amp;H52&amp;I52&amp;J52&amp;L52&amp;M52&amp;N52&amp;O52&amp;Q52&amp;R52&amp;S52&amp;T52&amp;V52&amp;W52&amp;X52&amp;Y52,2)-65536,_xlfn.DECIMAL(G52&amp;H52&amp;I52&amp;J52&amp;L52&amp;M52&amp;N52&amp;O52&amp;Q52&amp;R52&amp;S52&amp;T52&amp;V52&amp;W52&amp;X52&amp;Y52,2))</f>
        <v>16184</v>
      </c>
      <c r="AB52" s="5" t="s">
        <v>47</v>
      </c>
      <c r="AC52" s="2" t="s">
        <v>48</v>
      </c>
      <c r="AD52" s="2"/>
      <c r="AE52" s="2"/>
      <c r="AF52" s="2"/>
      <c r="AG52">
        <f>AG50+AG51</f>
        <v>-49352</v>
      </c>
      <c r="AH52" s="3" t="s">
        <v>47</v>
      </c>
    </row>
    <row r="53" spans="4:35" x14ac:dyDescent="0.35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4:35" x14ac:dyDescent="0.35">
      <c r="D54" s="2"/>
      <c r="E54" s="2"/>
      <c r="F54" s="2"/>
      <c r="G54" s="2" t="s">
        <v>51</v>
      </c>
      <c r="H54" s="2">
        <f>IF(F49=1,1,0)</f>
        <v>1</v>
      </c>
      <c r="I54" s="2"/>
      <c r="J54" s="2" t="s">
        <v>52</v>
      </c>
      <c r="K54" s="2">
        <f>1-MOD(SUM(Q52:T52)+SUM(V52:Y52),2)</f>
        <v>0</v>
      </c>
      <c r="L54" s="2"/>
      <c r="M54" s="2" t="s">
        <v>53</v>
      </c>
      <c r="N54" s="2">
        <f>IF(T49=1,1,0)</f>
        <v>1</v>
      </c>
      <c r="O54" s="2"/>
      <c r="P54" s="2" t="s">
        <v>54</v>
      </c>
      <c r="Q54" s="2">
        <f>IF(SUM(G52:Y52)=0,1,0)</f>
        <v>0</v>
      </c>
      <c r="R54" s="2"/>
      <c r="S54" s="2" t="s">
        <v>55</v>
      </c>
      <c r="T54" s="2">
        <f>G52</f>
        <v>0</v>
      </c>
      <c r="U54" s="2"/>
      <c r="V54" s="2" t="s">
        <v>56</v>
      </c>
      <c r="W54" s="2">
        <f>IF(G49=F49,0,1)</f>
        <v>1</v>
      </c>
      <c r="X54" s="2"/>
      <c r="Y54" s="2"/>
      <c r="Z54" s="2"/>
      <c r="AA54" s="2"/>
      <c r="AB54" s="2"/>
      <c r="AC54" s="2"/>
      <c r="AD54" s="2"/>
      <c r="AE54" s="2"/>
      <c r="AF54" s="2"/>
    </row>
    <row r="57" spans="4:35" x14ac:dyDescent="0.35">
      <c r="D57" s="2"/>
      <c r="E57" s="2"/>
      <c r="F57" s="7" t="str">
        <f t="shared" ref="F57" si="85">IF(SUM(G57:G59)&gt;1,1,"")</f>
        <v/>
      </c>
      <c r="G57" s="7" t="str">
        <f t="shared" ref="G57" si="86">IF(SUM(H57:H59)&gt;1,1,"")</f>
        <v/>
      </c>
      <c r="H57" s="7">
        <f t="shared" ref="H57" si="87">IF(SUM(I57:I59)&gt;1,1,"")</f>
        <v>1</v>
      </c>
      <c r="I57" s="7" t="str">
        <f t="shared" ref="I57" si="88">IF(SUM(J57:J59)&gt;1,1,"")</f>
        <v/>
      </c>
      <c r="J57" s="7" t="str">
        <f>IF(SUM(L57:L59)&gt;1,1,"")</f>
        <v/>
      </c>
      <c r="K57" s="7"/>
      <c r="L57" s="7" t="str">
        <f t="shared" ref="L57" si="89">IF(SUM(M57:M59)&gt;1,1,"")</f>
        <v/>
      </c>
      <c r="M57" s="7" t="str">
        <f t="shared" ref="M57" si="90">IF(SUM(N57:N59)&gt;1,1,"")</f>
        <v/>
      </c>
      <c r="N57" s="7" t="str">
        <f t="shared" ref="N57" si="91">IF(SUM(O57:O59)&gt;1,1,"")</f>
        <v/>
      </c>
      <c r="O57" s="7">
        <f>IF(SUM(Q57:Q59)&gt;1,1,"")</f>
        <v>1</v>
      </c>
      <c r="P57" s="7"/>
      <c r="Q57" s="7">
        <f t="shared" ref="Q57" si="92">IF(SUM(R57:R59)&gt;1,1,"")</f>
        <v>1</v>
      </c>
      <c r="R57" s="7">
        <f t="shared" ref="R57" si="93">IF(SUM(S57:S59)&gt;1,1,"")</f>
        <v>1</v>
      </c>
      <c r="S57" s="7" t="str">
        <f t="shared" ref="S57" si="94">IF(SUM(T57:T59)&gt;1,1,"")</f>
        <v/>
      </c>
      <c r="T57" s="7">
        <f>IF(SUM(V57:V59)&gt;1,1,"")</f>
        <v>1</v>
      </c>
      <c r="U57" s="7"/>
      <c r="V57" s="7">
        <f t="shared" ref="V57" si="95">IF(SUM(W57:W59)&gt;1,1,"")</f>
        <v>1</v>
      </c>
      <c r="W57" s="7">
        <f t="shared" ref="W57" si="96">IF(SUM(X57:X59)&gt;1,1,"")</f>
        <v>1</v>
      </c>
      <c r="X57" s="7" t="str">
        <f>IF(SUM(Y57:Y59)&gt;1,1,"")</f>
        <v/>
      </c>
      <c r="Y57" s="7"/>
      <c r="Z57" s="2"/>
      <c r="AA57" s="2"/>
      <c r="AB57" s="2"/>
      <c r="AC57" s="2"/>
      <c r="AD57" s="2"/>
      <c r="AE57" s="2"/>
      <c r="AF57" s="2"/>
      <c r="AI57" s="8" t="str">
        <f>IF(AND(AG58&gt;0,AG59&gt;0),IF(AG60&lt;2^15,"Результат корректный","При сложении положительных чисел получен отрицательный результат  ПЕРЕПОЛНЕНИЕ"),IF(AND(AG58&lt;0,AG59&lt;0),IF(ABS(AG58)+ABS(AG59)&lt;2^15,"Результат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ПЕРЕПОЛНЕНИЕ"),IF(AND(AG58&gt;0,AG59&lt;0),IF(ABS(AG58)&gt;ABS(AG59),"Результат корректный. Перенос из старшего разряда не учитывается","Результат корректный"),IF(ABS(AG59)&gt;ABS(AG58),"Результат корректный. Перенос из старшего разряда не учитывается","Результат корректный"))))</f>
        <v>Результат корректный</v>
      </c>
    </row>
    <row r="58" spans="4:35" ht="16.5" x14ac:dyDescent="0.45">
      <c r="D58" s="2"/>
      <c r="E58" s="2" t="s">
        <v>43</v>
      </c>
      <c r="F58" s="2"/>
      <c r="G58" s="2">
        <f t="shared" ref="G58:X58" si="97">G4</f>
        <v>0</v>
      </c>
      <c r="H58" s="2">
        <f t="shared" si="97"/>
        <v>0</v>
      </c>
      <c r="I58" s="2">
        <f t="shared" si="97"/>
        <v>1</v>
      </c>
      <c r="J58" s="2">
        <f t="shared" si="97"/>
        <v>0</v>
      </c>
      <c r="K58" s="2" t="str">
        <f t="shared" si="97"/>
        <v>.</v>
      </c>
      <c r="L58" s="2">
        <f t="shared" si="97"/>
        <v>1</v>
      </c>
      <c r="M58" s="2">
        <f t="shared" si="97"/>
        <v>0</v>
      </c>
      <c r="N58" s="2">
        <f t="shared" si="97"/>
        <v>1</v>
      </c>
      <c r="O58" s="2">
        <f t="shared" si="97"/>
        <v>0</v>
      </c>
      <c r="P58" s="2" t="str">
        <f t="shared" si="97"/>
        <v>.</v>
      </c>
      <c r="Q58" s="2">
        <f t="shared" si="97"/>
        <v>1</v>
      </c>
      <c r="R58" s="2">
        <f t="shared" si="97"/>
        <v>0</v>
      </c>
      <c r="S58" s="2">
        <f t="shared" si="97"/>
        <v>1</v>
      </c>
      <c r="T58" s="2">
        <f t="shared" si="97"/>
        <v>0</v>
      </c>
      <c r="U58" s="2" t="str">
        <f t="shared" si="97"/>
        <v>.</v>
      </c>
      <c r="V58" s="2">
        <f t="shared" si="97"/>
        <v>0</v>
      </c>
      <c r="W58" s="2">
        <f t="shared" si="97"/>
        <v>1</v>
      </c>
      <c r="X58" s="2">
        <f t="shared" si="97"/>
        <v>1</v>
      </c>
      <c r="Y58" s="2">
        <f>Y4</f>
        <v>0</v>
      </c>
      <c r="Z58" s="2"/>
      <c r="AA58" s="2"/>
      <c r="AB58" s="2"/>
      <c r="AC58" s="2"/>
      <c r="AD58" s="2"/>
      <c r="AE58" s="2" t="s">
        <v>49</v>
      </c>
      <c r="AF58" s="2"/>
      <c r="AG58" s="2">
        <f>C4</f>
        <v>10918</v>
      </c>
    </row>
    <row r="59" spans="4:35" ht="16.5" x14ac:dyDescent="0.45">
      <c r="D59" s="2" t="s">
        <v>45</v>
      </c>
      <c r="E59" s="6" t="s">
        <v>61</v>
      </c>
      <c r="F59" s="6"/>
      <c r="G59" s="6">
        <f t="shared" ref="G59:X59" si="98">G11</f>
        <v>1</v>
      </c>
      <c r="H59" s="6">
        <f t="shared" si="98"/>
        <v>0</v>
      </c>
      <c r="I59" s="6">
        <f t="shared" si="98"/>
        <v>1</v>
      </c>
      <c r="J59" s="6">
        <f t="shared" si="98"/>
        <v>1</v>
      </c>
      <c r="K59" s="6" t="str">
        <f t="shared" si="98"/>
        <v>.</v>
      </c>
      <c r="L59" s="6">
        <f t="shared" si="98"/>
        <v>0</v>
      </c>
      <c r="M59" s="6">
        <f t="shared" si="98"/>
        <v>1</v>
      </c>
      <c r="N59" s="6">
        <f t="shared" si="98"/>
        <v>0</v>
      </c>
      <c r="O59" s="6">
        <f t="shared" si="98"/>
        <v>0</v>
      </c>
      <c r="P59" s="6" t="str">
        <f t="shared" si="98"/>
        <v>.</v>
      </c>
      <c r="Q59" s="6">
        <f t="shared" si="98"/>
        <v>1</v>
      </c>
      <c r="R59" s="6">
        <f t="shared" si="98"/>
        <v>1</v>
      </c>
      <c r="S59" s="6">
        <f t="shared" si="98"/>
        <v>1</v>
      </c>
      <c r="T59" s="6">
        <f t="shared" si="98"/>
        <v>0</v>
      </c>
      <c r="U59" s="6" t="str">
        <f t="shared" si="98"/>
        <v>.</v>
      </c>
      <c r="V59" s="6">
        <f t="shared" si="98"/>
        <v>1</v>
      </c>
      <c r="W59" s="6">
        <f t="shared" si="98"/>
        <v>1</v>
      </c>
      <c r="X59" s="6">
        <f t="shared" si="98"/>
        <v>1</v>
      </c>
      <c r="Y59" s="6">
        <f>Y11</f>
        <v>1</v>
      </c>
      <c r="Z59" s="2"/>
      <c r="AA59" s="2"/>
      <c r="AB59" s="2"/>
      <c r="AC59" s="2"/>
      <c r="AD59" s="2" t="s">
        <v>45</v>
      </c>
      <c r="AE59" s="6" t="s">
        <v>62</v>
      </c>
      <c r="AF59" s="6"/>
      <c r="AG59" s="6">
        <f>C11</f>
        <v>-19217</v>
      </c>
    </row>
    <row r="60" spans="4:35" ht="16.5" x14ac:dyDescent="0.45">
      <c r="D60" s="2"/>
      <c r="E60" s="2"/>
      <c r="F60" s="2"/>
      <c r="G60" s="2">
        <f t="shared" ref="G60" si="99">MOD(SUM(G57:G59),2)</f>
        <v>1</v>
      </c>
      <c r="H60" s="2">
        <f t="shared" ref="H60:J60" si="100">MOD(SUM(H57:H59),2)</f>
        <v>1</v>
      </c>
      <c r="I60" s="2">
        <f t="shared" si="100"/>
        <v>0</v>
      </c>
      <c r="J60" s="2">
        <f t="shared" si="100"/>
        <v>1</v>
      </c>
      <c r="K60" s="2" t="s">
        <v>25</v>
      </c>
      <c r="L60" s="2">
        <f t="shared" ref="L60:O60" si="101">MOD(SUM(L57:L59),2)</f>
        <v>1</v>
      </c>
      <c r="M60" s="2">
        <f t="shared" si="101"/>
        <v>1</v>
      </c>
      <c r="N60" s="2">
        <f t="shared" si="101"/>
        <v>1</v>
      </c>
      <c r="O60" s="2">
        <f t="shared" si="101"/>
        <v>1</v>
      </c>
      <c r="P60" s="2" t="s">
        <v>25</v>
      </c>
      <c r="Q60" s="2">
        <f t="shared" ref="Q60:T60" si="102">MOD(SUM(Q57:Q59),2)</f>
        <v>1</v>
      </c>
      <c r="R60" s="2">
        <f t="shared" si="102"/>
        <v>0</v>
      </c>
      <c r="S60" s="2">
        <f t="shared" si="102"/>
        <v>0</v>
      </c>
      <c r="T60" s="2">
        <f t="shared" si="102"/>
        <v>1</v>
      </c>
      <c r="U60" s="2" t="s">
        <v>25</v>
      </c>
      <c r="V60" s="2">
        <f t="shared" ref="V60:X60" si="103">MOD(SUM(V57:V59),2)</f>
        <v>0</v>
      </c>
      <c r="W60" s="2">
        <f t="shared" si="103"/>
        <v>1</v>
      </c>
      <c r="X60" s="2">
        <f t="shared" si="103"/>
        <v>0</v>
      </c>
      <c r="Y60" s="2">
        <f>MOD(SUM(Y57:Y59),2)</f>
        <v>1</v>
      </c>
      <c r="Z60" s="4" t="s">
        <v>46</v>
      </c>
      <c r="AA60" s="2">
        <f>IF(G60=1,_xlfn.DECIMAL(G60&amp;H60&amp;I60&amp;J60&amp;L60&amp;M60&amp;N60&amp;O60&amp;Q60&amp;R60&amp;S60&amp;T60&amp;V60&amp;W60&amp;X60&amp;Y60,2)-65536,_xlfn.DECIMAL(G60&amp;H60&amp;I60&amp;J60&amp;L60&amp;M60&amp;N60&amp;O60&amp;Q60&amp;R60&amp;S60&amp;T60&amp;V60&amp;W60&amp;X60&amp;Y60,2))</f>
        <v>-8299</v>
      </c>
      <c r="AB60" s="5" t="s">
        <v>47</v>
      </c>
      <c r="AC60" s="2" t="s">
        <v>48</v>
      </c>
      <c r="AD60" s="2"/>
      <c r="AE60" s="2"/>
      <c r="AF60" s="2"/>
      <c r="AG60">
        <f>AG58+AG59</f>
        <v>-8299</v>
      </c>
      <c r="AH60" s="3" t="s">
        <v>47</v>
      </c>
    </row>
    <row r="61" spans="4:35" x14ac:dyDescent="0.3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4:35" x14ac:dyDescent="0.35">
      <c r="D62" s="2"/>
      <c r="E62" s="2"/>
      <c r="F62" s="2"/>
      <c r="G62" s="2" t="s">
        <v>51</v>
      </c>
      <c r="H62" s="2">
        <f>IF(F57=1,1,0)</f>
        <v>0</v>
      </c>
      <c r="I62" s="2"/>
      <c r="J62" s="2" t="s">
        <v>52</v>
      </c>
      <c r="K62" s="2">
        <f>1-MOD(SUM(Q60:T60)+SUM(V60:Y60),2)</f>
        <v>1</v>
      </c>
      <c r="L62" s="2"/>
      <c r="M62" s="2" t="s">
        <v>53</v>
      </c>
      <c r="N62" s="2">
        <f>IF(T57=1,1,0)</f>
        <v>1</v>
      </c>
      <c r="O62" s="2"/>
      <c r="P62" s="2" t="s">
        <v>54</v>
      </c>
      <c r="Q62" s="2">
        <f>IF(SUM(G60:Y60)=0,1,0)</f>
        <v>0</v>
      </c>
      <c r="R62" s="2"/>
      <c r="S62" s="2" t="s">
        <v>55</v>
      </c>
      <c r="T62" s="2">
        <f>G60</f>
        <v>1</v>
      </c>
      <c r="U62" s="2"/>
      <c r="V62" s="2" t="s">
        <v>56</v>
      </c>
      <c r="W62" s="2">
        <f>IF(G57=F57,0,1)</f>
        <v>0</v>
      </c>
      <c r="X62" s="2"/>
      <c r="Y62" s="2"/>
      <c r="Z62" s="2"/>
      <c r="AA62" s="2"/>
      <c r="AB62" s="2"/>
      <c r="AC62" s="2"/>
      <c r="AD62" s="2"/>
      <c r="AE62" s="2"/>
      <c r="AF62" s="2"/>
    </row>
    <row r="65" spans="4:35" ht="58" x14ac:dyDescent="0.35">
      <c r="D65" s="2"/>
      <c r="E65" s="2"/>
      <c r="F65" s="7">
        <f t="shared" ref="F65" si="104">IF(SUM(G65:G67)&gt;1,1,"")</f>
        <v>1</v>
      </c>
      <c r="G65" s="7">
        <f t="shared" ref="G65" si="105">IF(SUM(H65:H67)&gt;1,1,"")</f>
        <v>1</v>
      </c>
      <c r="H65" s="7">
        <f t="shared" ref="H65" si="106">IF(SUM(I65:I67)&gt;1,1,"")</f>
        <v>1</v>
      </c>
      <c r="I65" s="7">
        <f t="shared" ref="I65" si="107">IF(SUM(J65:J67)&gt;1,1,"")</f>
        <v>1</v>
      </c>
      <c r="J65" s="7">
        <f>IF(SUM(L65:L67)&gt;1,1,"")</f>
        <v>1</v>
      </c>
      <c r="K65" s="7"/>
      <c r="L65" s="7">
        <f t="shared" ref="L65" si="108">IF(SUM(M65:M67)&gt;1,1,"")</f>
        <v>1</v>
      </c>
      <c r="M65" s="7">
        <f t="shared" ref="M65" si="109">IF(SUM(N65:N67)&gt;1,1,"")</f>
        <v>1</v>
      </c>
      <c r="N65" s="7">
        <f t="shared" ref="N65" si="110">IF(SUM(O65:O67)&gt;1,1,"")</f>
        <v>1</v>
      </c>
      <c r="O65" s="7">
        <f>IF(SUM(Q65:Q67)&gt;1,1,"")</f>
        <v>1</v>
      </c>
      <c r="P65" s="7"/>
      <c r="Q65" s="7" t="str">
        <f t="shared" ref="Q65" si="111">IF(SUM(R65:R67)&gt;1,1,"")</f>
        <v/>
      </c>
      <c r="R65" s="7">
        <f t="shared" ref="R65" si="112">IF(SUM(S65:S67)&gt;1,1,"")</f>
        <v>1</v>
      </c>
      <c r="S65" s="7">
        <f t="shared" ref="S65" si="113">IF(SUM(T65:T67)&gt;1,1,"")</f>
        <v>1</v>
      </c>
      <c r="T65" s="7" t="str">
        <f>IF(SUM(V65:V67)&gt;1,1,"")</f>
        <v/>
      </c>
      <c r="U65" s="7"/>
      <c r="V65" s="7">
        <f t="shared" ref="V65" si="114">IF(SUM(W65:W67)&gt;1,1,"")</f>
        <v>1</v>
      </c>
      <c r="W65" s="7">
        <f t="shared" ref="W65" si="115">IF(SUM(X65:X67)&gt;1,1,"")</f>
        <v>1</v>
      </c>
      <c r="X65" s="7">
        <f>IF(SUM(Y65:Y67)&gt;1,1,"")</f>
        <v>1</v>
      </c>
      <c r="Y65" s="7"/>
      <c r="Z65" s="2"/>
      <c r="AA65" s="2"/>
      <c r="AB65" s="2"/>
      <c r="AC65" s="2"/>
      <c r="AD65" s="2"/>
      <c r="AE65" s="2"/>
      <c r="AF65" s="2"/>
      <c r="AI65" s="8" t="str">
        <f>IF(AND(AG66&gt;0,AG67&gt;0),IF(AG68&lt;2^15,"Результат корректный","При сложении положительных чисел получен отрицательный результат  ПЕРЕПОЛНЕНИЕ"),IF(AND(AG66&lt;0,AG67&lt;0),IF(ABS(AG66)+ABS(AG67)&lt;2^15,"Результат корректный. Перенос из старшего разряда не учитывается","При сложении отрицательных чисел получен положительный результат  ПЕРЕПОЛНЕНИЕ"),IF(AND(AG66&gt;0,AG67&lt;0),IF(ABS(AG66)&gt;ABS(AG67),"Результат корректный. Перенос из старшего разряда не учитывается","Результат корректный"),IF(ABS(AG67)&gt;ABS(AG66),"Результат корректный. Перенос из старшего разряда не учитывается","Результат корректный"))))</f>
        <v>Результат корректный. Перенос из старшего разряда не учитывается</v>
      </c>
    </row>
    <row r="66" spans="4:35" ht="16.5" x14ac:dyDescent="0.45">
      <c r="D66" s="2"/>
      <c r="E66" s="2" t="s">
        <v>65</v>
      </c>
      <c r="F66" s="2"/>
      <c r="G66" s="2">
        <f t="shared" ref="G66:X66" si="116">G14</f>
        <v>1</v>
      </c>
      <c r="H66" s="2">
        <f t="shared" si="116"/>
        <v>1</v>
      </c>
      <c r="I66" s="2">
        <f t="shared" si="116"/>
        <v>0</v>
      </c>
      <c r="J66" s="2">
        <f t="shared" si="116"/>
        <v>1</v>
      </c>
      <c r="K66" s="2" t="str">
        <f t="shared" si="116"/>
        <v>.</v>
      </c>
      <c r="L66" s="2">
        <f t="shared" si="116"/>
        <v>1</v>
      </c>
      <c r="M66" s="2">
        <f t="shared" si="116"/>
        <v>1</v>
      </c>
      <c r="N66" s="2">
        <f t="shared" si="116"/>
        <v>1</v>
      </c>
      <c r="O66" s="2">
        <f t="shared" si="116"/>
        <v>1</v>
      </c>
      <c r="P66" s="2" t="str">
        <f t="shared" si="116"/>
        <v>.</v>
      </c>
      <c r="Q66" s="2">
        <f t="shared" si="116"/>
        <v>1</v>
      </c>
      <c r="R66" s="2">
        <f t="shared" si="116"/>
        <v>0</v>
      </c>
      <c r="S66" s="2">
        <f t="shared" si="116"/>
        <v>0</v>
      </c>
      <c r="T66" s="2">
        <f t="shared" si="116"/>
        <v>1</v>
      </c>
      <c r="U66" s="2" t="str">
        <f t="shared" si="116"/>
        <v>.</v>
      </c>
      <c r="V66" s="2">
        <f t="shared" si="116"/>
        <v>0</v>
      </c>
      <c r="W66" s="2">
        <f t="shared" si="116"/>
        <v>1</v>
      </c>
      <c r="X66" s="2">
        <f t="shared" si="116"/>
        <v>0</v>
      </c>
      <c r="Y66" s="2">
        <f>Y14</f>
        <v>1</v>
      </c>
      <c r="Z66" s="2"/>
      <c r="AA66" s="2"/>
      <c r="AB66" s="2"/>
      <c r="AC66" s="2"/>
      <c r="AD66" s="2"/>
      <c r="AE66" s="2" t="s">
        <v>66</v>
      </c>
      <c r="AF66" s="2"/>
      <c r="AG66" s="2">
        <f>C14</f>
        <v>-8299</v>
      </c>
    </row>
    <row r="67" spans="4:35" ht="16.5" x14ac:dyDescent="0.45">
      <c r="D67" s="2" t="s">
        <v>45</v>
      </c>
      <c r="E67" s="6" t="s">
        <v>57</v>
      </c>
      <c r="F67" s="6"/>
      <c r="G67" s="6">
        <f t="shared" ref="G67:X67" si="117">G6</f>
        <v>0</v>
      </c>
      <c r="H67" s="6">
        <f t="shared" si="117"/>
        <v>1</v>
      </c>
      <c r="I67" s="6">
        <f t="shared" si="117"/>
        <v>1</v>
      </c>
      <c r="J67" s="6">
        <f t="shared" si="117"/>
        <v>1</v>
      </c>
      <c r="K67" s="6" t="str">
        <f t="shared" si="117"/>
        <v>.</v>
      </c>
      <c r="L67" s="6">
        <f t="shared" si="117"/>
        <v>0</v>
      </c>
      <c r="M67" s="6">
        <f t="shared" si="117"/>
        <v>1</v>
      </c>
      <c r="N67" s="6">
        <f t="shared" si="117"/>
        <v>0</v>
      </c>
      <c r="O67" s="6">
        <f t="shared" si="117"/>
        <v>1</v>
      </c>
      <c r="P67" s="6" t="str">
        <f t="shared" si="117"/>
        <v>.</v>
      </c>
      <c r="Q67" s="6">
        <f t="shared" si="117"/>
        <v>1</v>
      </c>
      <c r="R67" s="6">
        <f t="shared" si="117"/>
        <v>0</v>
      </c>
      <c r="S67" s="6">
        <f t="shared" si="117"/>
        <v>1</v>
      </c>
      <c r="T67" s="6">
        <f t="shared" si="117"/>
        <v>1</v>
      </c>
      <c r="U67" s="6" t="str">
        <f t="shared" si="117"/>
        <v>.</v>
      </c>
      <c r="V67" s="6">
        <f t="shared" si="117"/>
        <v>0</v>
      </c>
      <c r="W67" s="6">
        <f t="shared" si="117"/>
        <v>1</v>
      </c>
      <c r="X67" s="6">
        <f t="shared" si="117"/>
        <v>1</v>
      </c>
      <c r="Y67" s="6">
        <f>Y6</f>
        <v>1</v>
      </c>
      <c r="Z67" s="2"/>
      <c r="AA67" s="2"/>
      <c r="AB67" s="2"/>
      <c r="AC67" s="2"/>
      <c r="AD67" s="2" t="s">
        <v>45</v>
      </c>
      <c r="AE67" s="6" t="s">
        <v>58</v>
      </c>
      <c r="AF67" s="6"/>
      <c r="AG67" s="6">
        <f>C6</f>
        <v>30135</v>
      </c>
    </row>
    <row r="68" spans="4:35" ht="16.5" x14ac:dyDescent="0.45">
      <c r="D68" s="2"/>
      <c r="E68" s="2"/>
      <c r="F68" s="2"/>
      <c r="G68" s="2">
        <f t="shared" ref="G68" si="118">MOD(SUM(G65:G67),2)</f>
        <v>0</v>
      </c>
      <c r="H68" s="2">
        <f t="shared" ref="H68:J68" si="119">MOD(SUM(H65:H67),2)</f>
        <v>1</v>
      </c>
      <c r="I68" s="2">
        <f t="shared" si="119"/>
        <v>0</v>
      </c>
      <c r="J68" s="2">
        <f t="shared" si="119"/>
        <v>1</v>
      </c>
      <c r="K68" s="2" t="s">
        <v>25</v>
      </c>
      <c r="L68" s="2">
        <f t="shared" ref="L68:O68" si="120">MOD(SUM(L65:L67),2)</f>
        <v>0</v>
      </c>
      <c r="M68" s="2">
        <f t="shared" si="120"/>
        <v>1</v>
      </c>
      <c r="N68" s="2">
        <f t="shared" si="120"/>
        <v>0</v>
      </c>
      <c r="O68" s="2">
        <f t="shared" si="120"/>
        <v>1</v>
      </c>
      <c r="P68" s="2" t="s">
        <v>25</v>
      </c>
      <c r="Q68" s="2">
        <f t="shared" ref="Q68:T68" si="121">MOD(SUM(Q65:Q67),2)</f>
        <v>0</v>
      </c>
      <c r="R68" s="2">
        <f t="shared" si="121"/>
        <v>1</v>
      </c>
      <c r="S68" s="2">
        <f t="shared" si="121"/>
        <v>0</v>
      </c>
      <c r="T68" s="2">
        <f t="shared" si="121"/>
        <v>0</v>
      </c>
      <c r="U68" s="2" t="s">
        <v>25</v>
      </c>
      <c r="V68" s="2">
        <f t="shared" ref="V68:X68" si="122">MOD(SUM(V65:V67),2)</f>
        <v>1</v>
      </c>
      <c r="W68" s="2">
        <f t="shared" si="122"/>
        <v>1</v>
      </c>
      <c r="X68" s="2">
        <f t="shared" si="122"/>
        <v>0</v>
      </c>
      <c r="Y68" s="2">
        <f>MOD(SUM(Y65:Y67),2)</f>
        <v>0</v>
      </c>
      <c r="Z68" s="4" t="s">
        <v>46</v>
      </c>
      <c r="AA68" s="2">
        <f>IF(G68=1,_xlfn.DECIMAL(G68&amp;H68&amp;I68&amp;J68&amp;L68&amp;M68&amp;N68&amp;O68&amp;Q68&amp;R68&amp;S68&amp;T68&amp;V68&amp;W68&amp;X68&amp;Y68,2)-65536,_xlfn.DECIMAL(G68&amp;H68&amp;I68&amp;J68&amp;L68&amp;M68&amp;N68&amp;O68&amp;Q68&amp;R68&amp;S68&amp;T68&amp;V68&amp;W68&amp;X68&amp;Y68,2))</f>
        <v>21836</v>
      </c>
      <c r="AB68" s="5" t="s">
        <v>47</v>
      </c>
      <c r="AC68" s="2" t="s">
        <v>48</v>
      </c>
      <c r="AD68" s="2"/>
      <c r="AE68" s="2"/>
      <c r="AF68" s="2"/>
      <c r="AG68">
        <f>AG66+AG67</f>
        <v>21836</v>
      </c>
      <c r="AH68" s="3" t="s">
        <v>47</v>
      </c>
    </row>
    <row r="69" spans="4:35" x14ac:dyDescent="0.35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4:35" x14ac:dyDescent="0.35">
      <c r="D70" s="2"/>
      <c r="E70" s="2"/>
      <c r="F70" s="2"/>
      <c r="G70" s="2" t="s">
        <v>51</v>
      </c>
      <c r="H70" s="2">
        <f>IF(F65=1,1,0)</f>
        <v>1</v>
      </c>
      <c r="I70" s="2"/>
      <c r="J70" s="2" t="s">
        <v>52</v>
      </c>
      <c r="K70" s="2">
        <f>1-MOD(SUM(Q68:T68)+SUM(V68:Y68),2)</f>
        <v>0</v>
      </c>
      <c r="L70" s="2"/>
      <c r="M70" s="2" t="s">
        <v>53</v>
      </c>
      <c r="N70" s="2">
        <f>IF(T65=1,1,0)</f>
        <v>0</v>
      </c>
      <c r="O70" s="2"/>
      <c r="P70" s="2" t="s">
        <v>54</v>
      </c>
      <c r="Q70" s="2">
        <f>IF(SUM(G68:Y68)=0,1,0)</f>
        <v>0</v>
      </c>
      <c r="R70" s="2"/>
      <c r="S70" s="2" t="s">
        <v>55</v>
      </c>
      <c r="T70" s="2">
        <f>G68</f>
        <v>0</v>
      </c>
      <c r="U70" s="2"/>
      <c r="V70" s="2" t="s">
        <v>56</v>
      </c>
      <c r="W70" s="2">
        <f>IF(G65=F65,0,1)</f>
        <v>0</v>
      </c>
      <c r="X70" s="2"/>
      <c r="Y70" s="2"/>
      <c r="Z70" s="2"/>
      <c r="AA70" s="2"/>
      <c r="AB70" s="2"/>
      <c r="AC70" s="2"/>
      <c r="AD70" s="2"/>
      <c r="AE70" s="2"/>
      <c r="AF70" s="2"/>
    </row>
  </sheetData>
  <pageMargins left="0.7" right="0.7" top="0.75" bottom="0.75" header="0.3" footer="0.3"/>
  <pageSetup paperSize="9" orientation="portrait" r:id="rId1"/>
  <headerFooter>
    <oddHeader xml:space="preserve">&amp;CСтраница &amp;P
</oddHeader>
  </headerFooter>
  <ignoredErrors>
    <ignoredError sqref="AB20 AH20 AB28 AH28 AB36 AH36 AB44 AB52 AH52 AB60 AH60 AB68 AH68" numberStoredAsText="1"/>
    <ignoredError sqref="T17 O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Валиуллин</dc:creator>
  <cp:lastModifiedBy>Даниил Валиуллин</cp:lastModifiedBy>
  <dcterms:created xsi:type="dcterms:W3CDTF">2025-11-28T21:35:38Z</dcterms:created>
  <dcterms:modified xsi:type="dcterms:W3CDTF">2026-02-15T12:35:56Z</dcterms:modified>
</cp:coreProperties>
</file>